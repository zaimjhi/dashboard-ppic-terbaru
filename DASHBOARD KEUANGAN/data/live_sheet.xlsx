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5 JULI 2026" sheetId="1" r:id="rId5"/>
    <sheet state="visible" name="6-12 JULI 2026" sheetId="2" r:id="rId6"/>
    <sheet state="visible" name="13 - 19 JULI 2026" sheetId="3" r:id="rId7"/>
    <sheet state="visible" name="20 - 26 JULI 2026" sheetId="4" r:id="rId8"/>
    <sheet state="visible" name="27 JULI - 2 AGUSTUS 2026" sheetId="5" r:id="rId9"/>
    <sheet state="visible" name="3 - 9 AGUSTUS 2026" sheetId="6" r:id="rId10"/>
    <sheet state="visible" name="10 - 16 AGUSTUS 2026" sheetId="7" r:id="rId11"/>
    <sheet state="visible" name="17 - 23 AGUSTUS 2026" sheetId="8" r:id="rId12"/>
    <sheet state="visible" name="24 - 30 AGUSTUS 2026" sheetId="9" r:id="rId13"/>
    <sheet state="visible" name="31 AGUSTUS - 6 SEPTEMBER 2026" sheetId="10" r:id="rId14"/>
    <sheet state="visible" name="7 - 13 SEPTEMBER 2026" sheetId="11" r:id="rId15"/>
  </sheets>
  <definedNames/>
  <calcPr/>
</workbook>
</file>

<file path=xl/sharedStrings.xml><?xml version="1.0" encoding="utf-8"?>
<sst xmlns="http://schemas.openxmlformats.org/spreadsheetml/2006/main" count="738" uniqueCount="212">
  <si>
    <t xml:space="preserve">SURAT PERINTAH LEMBUR </t>
  </si>
  <si>
    <t>PERIODE SPL              : 6 - 10 Juli 2026</t>
  </si>
  <si>
    <t>PERIODE SPL              : 20 - 26 Juli 2026</t>
  </si>
  <si>
    <t>PERIODE SPL              : 01 - 05 Juli 2026</t>
  </si>
  <si>
    <t>PERIODE SPL              : 13 - 19 Juli 2026</t>
  </si>
  <si>
    <t>"NB / WAJIB"
1.SETELAH LEMBUR PASTIKAN SPL DI "PARAF" OLEH SPV / HEAD U/ DI        SETUJUI.
2. SPL DI REKAP DI KEBALIKAN  PALING LAMBAT SETIAP HARI SABTU.</t>
  </si>
  <si>
    <t>DEPARTEMEN            : PPIC</t>
  </si>
  <si>
    <t>DIVISI                          : PPIC</t>
  </si>
  <si>
    <t>NAMA SPV/ HEAD    :  RAHMATULLAH YUSUF</t>
  </si>
  <si>
    <t>NO</t>
  </si>
  <si>
    <t>NAMA KARYAWAN</t>
  </si>
  <si>
    <t>NO REG/KARYAWAN</t>
  </si>
  <si>
    <t>TGL</t>
  </si>
  <si>
    <t>JAM LEMBUR</t>
  </si>
  <si>
    <t>ISTIRAHAT / BREAK</t>
  </si>
  <si>
    <t>JUMLAH JAM LEMBUR</t>
  </si>
  <si>
    <t>KET / URAIAN</t>
  </si>
  <si>
    <t>PARAF</t>
  </si>
  <si>
    <t>MULAI</t>
  </si>
  <si>
    <t>SELESAI</t>
  </si>
  <si>
    <t>INDA MUTMAINNA</t>
  </si>
  <si>
    <t>ZA'IM FATHURRAHMAN ILHAM</t>
  </si>
  <si>
    <t>ANUGRAH NUR AULIANI</t>
  </si>
  <si>
    <t>FIRJIANTO GERALD MANDORO</t>
  </si>
  <si>
    <t>-</t>
  </si>
  <si>
    <t>1 jam</t>
  </si>
  <si>
    <t>Mengerjakan DOH dan Production &amp; Sales Report</t>
  </si>
  <si>
    <t>Planning harian dan kalkulasi bahan baku</t>
  </si>
  <si>
    <t xml:space="preserve">Create p2b dan Ba, verifikasi 30 invoice dan rekap gaji, memeriksa 7 laporan borongan dan os, dan menyelesaikan Lampiran bongkaran periode juni </t>
  </si>
  <si>
    <t>Planning harian rekap data dan membuat P2B Karung &amp; Label</t>
  </si>
  <si>
    <t>Rekap data dan Meeting Forecast Nasional</t>
  </si>
  <si>
    <t>Planning harian, kalkulasi bahan baku dan koordinasi dengan team warehouse terkait ketersediaan R512</t>
  </si>
  <si>
    <t>Rekapa laporan</t>
  </si>
  <si>
    <t xml:space="preserve">1 jam </t>
  </si>
  <si>
    <t>Mengerjakan laporan monthly report</t>
  </si>
  <si>
    <t>Rekap data serta membuat planning kedepannya</t>
  </si>
  <si>
    <t xml:space="preserve">Memeriksa laporan borongan </t>
  </si>
  <si>
    <t>Koordinasi terkait jadwal produksi shift 2 dan 3</t>
  </si>
  <si>
    <t>Mengerjakan DOH bahan baku</t>
  </si>
  <si>
    <t>Koordinasi CPPB CPI Maros</t>
  </si>
  <si>
    <t>Kordinasi untuk produksi kedepannya</t>
  </si>
  <si>
    <t>Planning harian dan Koordinasi terkait bahan baku</t>
  </si>
  <si>
    <t xml:space="preserve">Memeriksa Laporan Borongan </t>
  </si>
  <si>
    <t>Rekapa laporan dan order label serta karung</t>
  </si>
  <si>
    <t>Rekap Laporan</t>
  </si>
  <si>
    <t xml:space="preserve">Memeriksa laporan borongan, update data project, dan billing barang bekas </t>
  </si>
  <si>
    <t>Revisi planning dan DPS, PO Repacking, TP Karung, Kalkulasi bahan baku, dan DOH karung</t>
  </si>
  <si>
    <t>Planning harian dan membuat DOH karung label</t>
  </si>
  <si>
    <t>Planning harian dan tunggu formula S11</t>
  </si>
  <si>
    <t>Mengerjakan revisi monthly report CPI Maros</t>
  </si>
  <si>
    <t xml:space="preserve">kembali ke kantor untuk switch formula (urgent) </t>
  </si>
  <si>
    <t xml:space="preserve">Planning harian dan koordinasi dengan team storeroom </t>
  </si>
  <si>
    <t xml:space="preserve">Planning harian dan update db sales </t>
  </si>
  <si>
    <t xml:space="preserve">Koordinasi karung bongkaran intavis dan memriksa laporan borongan </t>
  </si>
  <si>
    <t>kalkulasi bahan baku dan koordinasi dengan team QA terkait rencana fumigasi</t>
  </si>
  <si>
    <t>Mengerjakan DOH dan perhitungan Anticocci</t>
  </si>
  <si>
    <t xml:space="preserve">Memeriksa Laporan Borongan 1-8 Juni </t>
  </si>
  <si>
    <t>kalkulasi bahan baku untuk persiapan produksi hari senin</t>
  </si>
  <si>
    <t>Mengerjakan MRP Premix</t>
  </si>
  <si>
    <t>Rekap data dan croschek SOP TS</t>
  </si>
  <si>
    <t>Mengerjakan revisi DOH</t>
  </si>
  <si>
    <t>Koordinasi dengan team produksi dan Warehouse terkait stock di SAP</t>
  </si>
  <si>
    <t>Memeriksa Invoice borongan dan os. Revisi spk ppb dan ba project</t>
  </si>
  <si>
    <t>Pemberi Perintah</t>
  </si>
  <si>
    <t>Mengetahui</t>
  </si>
  <si>
    <t>Planning harian dan koordinasi terkait bahan baku R512</t>
  </si>
  <si>
    <t>Membuah DOH Karung dan belajar GI-GR Karung sampai pakan</t>
  </si>
  <si>
    <t>Mengerjakan DOH dan Production Report Maros</t>
  </si>
  <si>
    <t>Mengerjakan revisi monthly report</t>
  </si>
  <si>
    <t>Planning buat 3 hari kedepan</t>
  </si>
  <si>
    <t xml:space="preserve">Memeriksa Invoice borongan. send by system </t>
  </si>
  <si>
    <t xml:space="preserve">Memeriksa dan Verifikasi Invoice Project. Membuat BA dan PPBJ </t>
  </si>
  <si>
    <t>Planning harian dan kalkukasi bahan baku</t>
  </si>
  <si>
    <t>(Rahmatullah Yusuf )</t>
  </si>
  <si>
    <t>Memeriksa 15 laporan borongan Juni. Billing DO. Verif invoice forklift. Create TO, BPJUM, dan SJ</t>
  </si>
  <si>
    <t>Mengerjakan analisis manufacturing supply dan spare part CPI Maros</t>
  </si>
  <si>
    <t>Rekap data serta koordinasi untuk jadwa produksi sabtu-minggu</t>
  </si>
  <si>
    <t>PPIC Manager</t>
  </si>
  <si>
    <t>Kepala Departemen CPI</t>
  </si>
  <si>
    <t>Rekap data dan koordinasi terkait jadwal produksi besok</t>
  </si>
  <si>
    <t>Planning produksi dan Rekap data produksi</t>
  </si>
  <si>
    <t xml:space="preserve">Membuat SO DO Barang bekas. Verifikasi Invoice. send by system </t>
  </si>
  <si>
    <t>Revisi Prioritas, Planning Harian, DOH ZAK, dan kalkulasi bahan baku</t>
  </si>
  <si>
    <t>Belajar membuat rekapan act sales, fc montly dan weekly</t>
  </si>
  <si>
    <t>Mengerjakan MRP RM</t>
  </si>
  <si>
    <t xml:space="preserve">Memeriksa laporan borongan Juni &amp; Juli. Memeriksa Invoice sampah </t>
  </si>
  <si>
    <t xml:space="preserve">Memeriksa dan Verifikasi Invoice gaji OS  </t>
  </si>
  <si>
    <t>Mengerjakan SO DO barang bekas</t>
  </si>
  <si>
    <t>Tidak Istirahat Membuat master planning dan TP Karung</t>
  </si>
  <si>
    <t>Mengerjakan revisi monthly report dan DOH</t>
  </si>
  <si>
    <t>Planning harian dan Estimasi untuk produksi hari minggu</t>
  </si>
  <si>
    <t>Update data DB Sales week 4</t>
  </si>
  <si>
    <t>Kalkulasi stock dan Planning harian</t>
  </si>
  <si>
    <t>Rekap data serta koordinasi untuk jadwal produksi minggu</t>
  </si>
  <si>
    <t>Rekap data</t>
  </si>
  <si>
    <t>Verifikasi invoice. Rekapan bongkaran laporan borongan periode juli. Laporan bulanan barang bekas, orderan bulanan, OT OS</t>
  </si>
  <si>
    <t>Planning harian dan belajar membuat master planning</t>
  </si>
  <si>
    <t>Membuat planning selama satu minggu dan monitor penjualan</t>
  </si>
  <si>
    <t xml:space="preserve">Verifikasi Invoice, send by system, dan Koordinasi laporan borongan </t>
  </si>
  <si>
    <t>Koordinasi terkait planning kedepannya</t>
  </si>
  <si>
    <t>PERIODE SPL              : 27 JULI - 2 AGUSTUS 2026</t>
  </si>
  <si>
    <t xml:space="preserve">Create p2b dan Ba, send by system gaji </t>
  </si>
  <si>
    <t>Meetig CPPB</t>
  </si>
  <si>
    <t>Memeriksa laporan borongan 4 tanggal dan koordinasi update invoce vendor</t>
  </si>
  <si>
    <t>Kerjakan PPT Company Profile</t>
  </si>
  <si>
    <t>Planning harian , Kalkulasi Rfeed R512, dan Teco PO</t>
  </si>
  <si>
    <t>Persiapan CPPB</t>
  </si>
  <si>
    <t>Memeriksa laporan borongan dan verifikasi invoice</t>
  </si>
  <si>
    <t>Mengerjakan simulasi DOH SBM CPI Maros</t>
  </si>
  <si>
    <t>Planning harian , membuat file DOH dan koordinasi terkait R122</t>
  </si>
  <si>
    <t>4 jam</t>
  </si>
  <si>
    <t>Membuat companny profile</t>
  </si>
  <si>
    <t xml:space="preserve">Memeriksa laporan borongan intavis 9 dan mt 3, invoice mt 20-26 juli, Invoice alta 5, dan invoice intavis 5-22 Juni. Create PPB, BA, dan SPK Pekerjaan </t>
  </si>
  <si>
    <t>Support closing dan kalkulasi stok anticocci</t>
  </si>
  <si>
    <t>Closing Produksi</t>
  </si>
  <si>
    <t>Memeriksa Laporan Borongan, verifikasi invoice pekerjaan project</t>
  </si>
  <si>
    <t>Update DB Sales dan Master planning</t>
  </si>
  <si>
    <t>PERIODE SPL              : 3 AGUSTUS - 8 AGUSTUS 2026</t>
  </si>
  <si>
    <t>Planning harian, DOH Label karung serta koordinasi terkait pakan eksternal yang akan dimuat</t>
  </si>
  <si>
    <t xml:space="preserve">Create SO DO dan memeriksa laporan borongan </t>
  </si>
  <si>
    <t>Mengerjakan monthly report</t>
  </si>
  <si>
    <t>Mengerjakan Planning harian dan DOH karung label</t>
  </si>
  <si>
    <t>Mengerjakan revisi stock Anticocci</t>
  </si>
  <si>
    <t xml:space="preserve">Create SO DO, memeriksa ivoice borongan, dan Verifikasi Tagihan </t>
  </si>
  <si>
    <t>Mengerjakan DOH dan susut anticocci</t>
  </si>
  <si>
    <t>PERIODE SPL              : 10 - 16 AGUSTUS 2026</t>
  </si>
  <si>
    <t>Mengerjakan Planning harian, DOH karung label, dan koordinasi terkait rfeed</t>
  </si>
  <si>
    <t xml:space="preserve">Verifikasi invoice. Memeriksa laporan borongan, harian dan gaji. </t>
  </si>
  <si>
    <t>Rekap Laporan dan Planning untuk satu minggu kedepan</t>
  </si>
  <si>
    <t>Mengerjakan Planning harian, DOH karung label, update db sales, koordinasi dengan team produksi terkait trial PPLA</t>
  </si>
  <si>
    <t>Mengerjakan Planning harian dan kalkulasi bahan baku</t>
  </si>
  <si>
    <t>Rekap Laporan dan Planning Produksi untuk 3 hari kedepan</t>
  </si>
  <si>
    <t>Verifikasi invoice. Memeriksa laporan borongan</t>
  </si>
  <si>
    <t xml:space="preserve">Verifikasi invoice. Create SO DO. </t>
  </si>
  <si>
    <t xml:space="preserve">Verifikasi Invoice dan Memeriksa laporan borongan 7 rangkap </t>
  </si>
  <si>
    <t>Rekap data dan kirim laporan</t>
  </si>
  <si>
    <t>Mengerjakan monthly report, analisis manufacturing supply dan spare part</t>
  </si>
  <si>
    <t xml:space="preserve">Create SO DO, Verifikasi Invoice, dan Memeriksa laporan borongan </t>
  </si>
  <si>
    <t>Membuat planning harian, kalkulasi bahan baku dan koordinasi dengan formulator terkait formula baru</t>
  </si>
  <si>
    <t xml:space="preserve">Verifikasi invoice. Rekap Orderan Bulanan </t>
  </si>
  <si>
    <t>Mengerjakan DOH</t>
  </si>
  <si>
    <t>Membuat planning harian, kalkulasi bahan baku dan koordinasi dengan formulator terkait penggunaan cgm</t>
  </si>
  <si>
    <t>Planning harian, kalkulasi bahan baku, dan koordinasi dengan formulator terkait formula baru</t>
  </si>
  <si>
    <t xml:space="preserve">Create SO DO Memeriksa laporan borongan </t>
  </si>
  <si>
    <t>Planning harian, kalkulasi bahan baku dan melakukan pengecekan lapangan</t>
  </si>
  <si>
    <t>Memeriksa laporan borongan, create ppbj &amp; ba, dan verifikasi invoice project</t>
  </si>
  <si>
    <t>PERIODE SPL              : 17 - 23 AGUSTUS 2026</t>
  </si>
  <si>
    <t>Planning harian, kalkulasi bahan baku, dan Revisi prioritas</t>
  </si>
  <si>
    <t xml:space="preserve"> </t>
  </si>
  <si>
    <t>Mengerjakan revisi monthly report dan laporan penerimaan anticocci</t>
  </si>
  <si>
    <t>Rekap OT Juli 3 os dan memeriksa laporan borongan</t>
  </si>
  <si>
    <t>Planning harian dan DOH Karung</t>
  </si>
  <si>
    <t>create so do, verifikasi invoice, send by system</t>
  </si>
  <si>
    <t>Planning harian dan Kalkulasi bahan baku</t>
  </si>
  <si>
    <t>Planning harian, Kalkulasi bahan baku, dan Po repack</t>
  </si>
  <si>
    <t xml:space="preserve">Verifikasi Invoice dan memeriksa invoice laporan borongan </t>
  </si>
  <si>
    <t>Tidak Istirahat, Koordinasi terkait UU Pakan dengan team QC dan QA</t>
  </si>
  <si>
    <t>Rekap data, kirim laporan, dan kordinasi terkait planning seminggu kedepan</t>
  </si>
  <si>
    <t>Membuat Planning harian , melakukan GI karung serta berkoordinasi dengan tim warehouse terkait GI yang terkendala</t>
  </si>
  <si>
    <t xml:space="preserve">Verifikasi Invoice, send by system, dan memeriksa laporan borongan </t>
  </si>
  <si>
    <t>PERIODE SPL              : 24 - 30 AGUSTUS 2026</t>
  </si>
  <si>
    <t>Merekap data serta mengatur dan kordinasi terkait jadwal produksi</t>
  </si>
  <si>
    <t xml:space="preserve">Membuat Planning harian , melakukan GI karung, update db sales dan TECO PO </t>
  </si>
  <si>
    <t>Mengerjakan MRP Premix dan Anticocci</t>
  </si>
  <si>
    <t>Memeriksa Laporan Borongan dan verifikasi Invoice</t>
  </si>
  <si>
    <t>Tanpa istirahat, membuat planning harian, dan PO REPACK serta GI karung</t>
  </si>
  <si>
    <t>Merekap data dan memastikan produksi</t>
  </si>
  <si>
    <t>Planning harian, DOH Karung dan kalkulasi R611</t>
  </si>
  <si>
    <t>Rekap Data</t>
  </si>
  <si>
    <t>Memeriksa Laporan Borongan</t>
  </si>
  <si>
    <t>Create SO DO dan verifikasi Invoice</t>
  </si>
  <si>
    <t>Mengerjakan MRP Full RM</t>
  </si>
  <si>
    <t>Mengerjakan DOH RM dan notulensi meeting bulanan CPI Maros</t>
  </si>
  <si>
    <t>Rekap Data &amp; Mengirim Laporan</t>
  </si>
  <si>
    <t>Planning harian, DOH Karung dan kalkulasi bahan baku CGM, DDGWS, dan R512</t>
  </si>
  <si>
    <t xml:space="preserve">Verifikasi Invoice dan periksa laporan borongan </t>
  </si>
  <si>
    <t xml:space="preserve">Create SO DO dan memeriksa invoice gaji dan borongan </t>
  </si>
  <si>
    <t xml:space="preserve">Koordinasi pembelian barang bekas </t>
  </si>
  <si>
    <t>Mengerjakan DOH dan koordinasi kedatangan bahan baku</t>
  </si>
  <si>
    <t>Planning harian, kalkulasi bahan baku CGM, DDGWS, dan R512</t>
  </si>
  <si>
    <t xml:space="preserve">memeriksa laporan borongan dan gaji, closing nota agustus, verifikasi invoice, send by system </t>
  </si>
  <si>
    <t>OT TS</t>
  </si>
  <si>
    <t>https://docs.google.com/spreadsheets/d/1areXDYpGm-jyd2x9mpunICs7n3HstU_fuXFW8Qz6ZZM/edit?gid=0#gid=0</t>
  </si>
  <si>
    <t>PERIODE SPL              : 31 AGUSTUS - 6 SEPTEMBER 2026</t>
  </si>
  <si>
    <t>Estimasi kebutuhan CGM dan transaksi PO CPO kebutuhan closing</t>
  </si>
  <si>
    <t>Memeriksa Laporan borongan dan gaji intavis dan mt. Create PPB Spare part</t>
  </si>
  <si>
    <t>Planning harian, update DOH karung label, dan kalkulasi bahan baku</t>
  </si>
  <si>
    <t xml:space="preserve">Create SO DO dan memeriksa laporan borongan beserta invoice </t>
  </si>
  <si>
    <t>Mengerjakan MRP tambahan material zat additive</t>
  </si>
  <si>
    <t>Tunggu formula, update DOH karung label, dan kalkulasi bahan baku</t>
  </si>
  <si>
    <t>Update planning harian dan estimasi bahan baku</t>
  </si>
  <si>
    <t>Mengerjakan report anticocci</t>
  </si>
  <si>
    <t>Rekap data CPPB dan Kirim Laporan</t>
  </si>
  <si>
    <t>Mengerjakan DOH dan input Zppdt Pellet</t>
  </si>
  <si>
    <t>Update master planning dan db sales</t>
  </si>
  <si>
    <t xml:space="preserve">Memeriksa laporan borongan dan gaji, Verifikasi invoice </t>
  </si>
  <si>
    <t>PERIODE SPL              : 7 - 13 SEPTEMBER 2026</t>
  </si>
  <si>
    <t>Update master planning ,db sales, buat memo tp</t>
  </si>
  <si>
    <t>Meeting STO dan rekap data</t>
  </si>
  <si>
    <t xml:space="preserve">Update master planning </t>
  </si>
  <si>
    <t>Create SO DO, Billing DO, Verifikasi Invoice, send by system</t>
  </si>
  <si>
    <t>Kordinasi lintas departemen terkait jadwal produksi</t>
  </si>
  <si>
    <t>Update master planning dan koordinasi terkait formula fat coater</t>
  </si>
  <si>
    <t xml:space="preserve">Memeriksa laporan borongan dan verifikasi invoice </t>
  </si>
  <si>
    <t>Mengerjakan cost center Monthly report</t>
  </si>
  <si>
    <t>Mengerjakan MRP tambahan valine dan DDGS</t>
  </si>
  <si>
    <t>Update master planning dan planning produksi</t>
  </si>
  <si>
    <t>Update master planning, planning produksi, dan tunggu formula baru</t>
  </si>
  <si>
    <t>Rekap data dan kordinasi</t>
  </si>
  <si>
    <t>Update master planning, doh karung, dan koordinasi terkait GI karung</t>
  </si>
  <si>
    <t>Produksi hari minggu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</si>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</sst>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#\ &quot;Jam&quot;"/>
    <numFmt numFmtId="166" formatCode="d mmm yyyy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36.0"/>
      <color theme="1"/>
      <name val="Calibri"/>
    </font>
    <font/>
    <font>
      <b/>
      <sz val="20.0"/>
      <color theme="1"/>
      <name val="Calibri"/>
    </font>
    <font>
      <sz val="26.0"/>
      <color theme="1"/>
      <name val="Calibri"/>
    </font>
    <font>
      <b/>
      <sz val="22.0"/>
      <color theme="1"/>
      <name val="Calibri"/>
    </font>
    <font>
      <sz val="20.0"/>
      <color theme="1"/>
      <name val="Calibri"/>
    </font>
    <font>
      <b/>
      <sz val="20.0"/>
      <color rgb="FFFF0000"/>
      <name val="Calibri"/>
    </font>
    <font>
      <color theme="1"/>
      <name val="Arial"/>
    </font>
    <font>
      <sz val="20.0"/>
      <color rgb="FF000000"/>
      <name val="Calibri"/>
    </font>
    <font>
      <b/>
      <sz val="21.0"/>
      <color theme="1"/>
      <name val="Calibri"/>
    </font>
    <font>
      <sz val="20.0"/>
      <color rgb="FFFF0000"/>
      <name val="Calibri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ill="1" applyFont="1"/>
    <xf borderId="9" fillId="0" fontId="1" numFmtId="0" xfId="0" applyBorder="1" applyFont="1"/>
    <xf borderId="10" fillId="0" fontId="1" numFmtId="0" xfId="0" applyBorder="1" applyFont="1"/>
    <xf borderId="11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 vertical="center"/>
    </xf>
    <xf borderId="12" fillId="0" fontId="1" numFmtId="0" xfId="0" applyBorder="1" applyFont="1"/>
    <xf borderId="13" fillId="0" fontId="1" numFmtId="0" xfId="0" applyBorder="1" applyFont="1"/>
    <xf borderId="14" fillId="3" fontId="5" numFmtId="0" xfId="0" applyAlignment="1" applyBorder="1" applyFill="1" applyFont="1">
      <alignment horizontal="left" shrinkToFit="0" wrapText="1"/>
    </xf>
    <xf borderId="11" fillId="0" fontId="4" numFmtId="0" xfId="0" applyBorder="1" applyFont="1"/>
    <xf borderId="12" fillId="0" fontId="3" numFmtId="0" xfId="0" applyBorder="1" applyFont="1"/>
    <xf borderId="13" fillId="0" fontId="3" numFmtId="0" xfId="0" applyBorder="1" applyFont="1"/>
    <xf borderId="15" fillId="0" fontId="3" numFmtId="0" xfId="0" applyBorder="1" applyFont="1"/>
    <xf borderId="11" fillId="0" fontId="1" numFmtId="0" xfId="0" applyBorder="1" applyFont="1"/>
    <xf borderId="16" fillId="0" fontId="3" numFmtId="0" xfId="0" applyBorder="1" applyFont="1"/>
    <xf borderId="17" fillId="4" fontId="4" numFmtId="0" xfId="0" applyAlignment="1" applyBorder="1" applyFill="1" applyFont="1">
      <alignment horizontal="center" shrinkToFit="0" wrapText="1"/>
    </xf>
    <xf borderId="18" fillId="4" fontId="4" numFmtId="0" xfId="0" applyAlignment="1" applyBorder="1" applyFill="1" applyFont="1">
      <alignment horizontal="center" shrinkToFit="0" wrapText="1"/>
    </xf>
    <xf borderId="19" fillId="0" fontId="3" numFmtId="0" xfId="0" applyBorder="1" applyFont="1"/>
    <xf borderId="17" fillId="4" fontId="6" numFmtId="0" xfId="0" applyAlignment="1" applyBorder="1" applyFill="1" applyFont="1">
      <alignment horizontal="center"/>
    </xf>
    <xf borderId="20" fillId="0" fontId="3" numFmtId="0" xfId="0" applyBorder="1" applyFont="1"/>
    <xf borderId="21" fillId="4" fontId="4" numFmtId="0" xfId="0" applyAlignment="1" applyBorder="1" applyFill="1" applyFont="1">
      <alignment horizontal="center" shrinkToFit="0" wrapText="1"/>
    </xf>
    <xf borderId="21" fillId="0" fontId="7" numFmtId="0" xfId="0" applyAlignment="1" applyBorder="1" applyFont="1">
      <alignment horizontal="center" readingOrder="0"/>
    </xf>
    <xf borderId="21" fillId="0" fontId="7" numFmtId="0" xfId="0" applyAlignment="1" applyBorder="1" applyFont="1">
      <alignment horizontal="center" readingOrder="0" vertical="center"/>
    </xf>
    <xf borderId="21" fillId="0" fontId="7" numFmtId="0" xfId="0" applyBorder="1" applyFont="1"/>
    <xf borderId="21" fillId="0" fontId="7" numFmtId="0" xfId="0" applyAlignment="1" applyBorder="1" applyFont="1">
      <alignment readingOrder="0" vertical="bottom"/>
    </xf>
    <xf borderId="21" fillId="0" fontId="7" numFmtId="0" xfId="0" applyAlignment="1" applyBorder="1" applyFont="1">
      <alignment readingOrder="0" vertical="center"/>
    </xf>
    <xf borderId="21" fillId="0" fontId="7" numFmtId="164" xfId="0" applyAlignment="1" applyBorder="1" applyFont="1" applyNumberFormat="1">
      <alignment horizontal="center"/>
    </xf>
    <xf borderId="21" fillId="0" fontId="7" numFmtId="164" xfId="0" applyAlignment="1" applyBorder="1" applyFont="1" applyNumberFormat="1">
      <alignment horizontal="center" readingOrder="0" vertical="center"/>
    </xf>
    <xf borderId="21" fillId="0" fontId="7" numFmtId="0" xfId="0" applyAlignment="1" applyBorder="1" applyFont="1">
      <alignment horizontal="center" readingOrder="0" vertical="bottom"/>
    </xf>
    <xf borderId="21" fillId="5" fontId="7" numFmtId="20" xfId="0" applyAlignment="1" applyBorder="1" applyFill="1" applyFont="1" applyNumberFormat="1">
      <alignment horizontal="center"/>
    </xf>
    <xf borderId="21" fillId="5" fontId="7" numFmtId="20" xfId="0" applyAlignment="1" applyBorder="1" applyFill="1" applyFont="1" applyNumberFormat="1">
      <alignment horizontal="center" readingOrder="0" vertical="center"/>
    </xf>
    <xf borderId="21" fillId="0" fontId="7" numFmtId="164" xfId="0" applyAlignment="1" applyBorder="1" applyFont="1" applyNumberFormat="1">
      <alignment horizontal="center" readingOrder="0" vertical="bottom"/>
    </xf>
    <xf borderId="21" fillId="5" fontId="1" numFmtId="165" xfId="0" applyBorder="1" applyFill="1" applyFont="1" applyNumberFormat="1"/>
    <xf borderId="21" fillId="5" fontId="7" numFmtId="165" xfId="0" applyAlignment="1" applyBorder="1" applyFill="1" applyFont="1" applyNumberFormat="1">
      <alignment horizontal="center" vertical="center"/>
    </xf>
    <xf borderId="21" fillId="5" fontId="7" numFmtId="20" xfId="0" applyAlignment="1" applyBorder="1" applyFill="1" applyFont="1" applyNumberFormat="1">
      <alignment horizontal="center" readingOrder="0" vertical="bottom"/>
    </xf>
    <xf borderId="21" fillId="5" fontId="7" numFmtId="165" xfId="0" applyAlignment="1" applyBorder="1" applyFill="1" applyFont="1" applyNumberFormat="1">
      <alignment horizontal="center" vertical="bottom"/>
    </xf>
    <xf borderId="21" fillId="0" fontId="7" numFmtId="0" xfId="0" applyAlignment="1" applyBorder="1" applyFont="1">
      <alignment readingOrder="0"/>
    </xf>
    <xf borderId="21" fillId="5" fontId="7" numFmtId="0" xfId="0" applyAlignment="1" applyBorder="1" applyFill="1" applyFont="1">
      <alignment horizontal="center" readingOrder="0"/>
    </xf>
    <xf borderId="21" fillId="0" fontId="7" numFmtId="164" xfId="0" applyAlignment="1" applyBorder="1" applyFont="1" applyNumberFormat="1">
      <alignment horizontal="center" readingOrder="0"/>
    </xf>
    <xf borderId="21" fillId="0" fontId="7" numFmtId="0" xfId="0" applyAlignment="1" applyBorder="1" applyFont="1">
      <alignment horizontal="center" readingOrder="0" shrinkToFit="0" vertical="bottom" wrapText="1"/>
    </xf>
    <xf borderId="21" fillId="5" fontId="7" numFmtId="20" xfId="0" applyAlignment="1" applyBorder="1" applyFill="1" applyFont="1" applyNumberFormat="1">
      <alignment horizontal="center" vertical="center"/>
    </xf>
    <xf borderId="21" fillId="0" fontId="1" numFmtId="0" xfId="0" applyBorder="1" applyFont="1"/>
    <xf borderId="21" fillId="0" fontId="7" numFmtId="0" xfId="0" applyAlignment="1" applyBorder="1" applyFont="1">
      <alignment horizontal="center" shrinkToFit="0" wrapText="1"/>
    </xf>
    <xf borderId="21" fillId="0" fontId="7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horizontal="center"/>
    </xf>
    <xf borderId="21" fillId="0" fontId="7" numFmtId="164" xfId="0" applyAlignment="1" applyBorder="1" applyFont="1" applyNumberFormat="1">
      <alignment horizontal="center" vertical="bottom"/>
    </xf>
    <xf borderId="21" fillId="5" fontId="7" numFmtId="20" xfId="0" applyAlignment="1" applyBorder="1" applyFill="1" applyFont="1" applyNumberFormat="1">
      <alignment horizontal="center" vertical="bottom"/>
    </xf>
    <xf borderId="21" fillId="5" fontId="7" numFmtId="165" xfId="0" applyAlignment="1" applyBorder="1" applyFill="1" applyFont="1" applyNumberFormat="1">
      <alignment horizontal="center"/>
    </xf>
    <xf borderId="21" fillId="5" fontId="7" numFmtId="0" xfId="0" applyAlignment="1" applyBorder="1" applyFill="1" applyFont="1">
      <alignment horizontal="center" vertical="bottom"/>
    </xf>
    <xf borderId="21" fillId="5" fontId="8" numFmtId="0" xfId="0" applyAlignment="1" applyBorder="1" applyFill="1" applyFont="1">
      <alignment horizontal="center"/>
    </xf>
    <xf borderId="21" fillId="5" fontId="7" numFmtId="20" xfId="0" applyAlignment="1" applyBorder="1" applyFill="1" applyFont="1" applyNumberFormat="1">
      <alignment horizontal="center" readingOrder="0"/>
    </xf>
    <xf borderId="21" fillId="0" fontId="7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21" fillId="0" fontId="7" numFmtId="0" xfId="0" applyAlignment="1" applyBorder="1" applyFont="1">
      <alignment horizontal="center" vertical="bottom"/>
    </xf>
    <xf borderId="21" fillId="5" fontId="10" numFmtId="0" xfId="0" applyAlignment="1" applyBorder="1" applyFill="1" applyFont="1">
      <alignment horizontal="center" vertical="bottom"/>
    </xf>
    <xf borderId="21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21" fillId="5" fontId="7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21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vertical="bottom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0" fillId="0" fontId="4" numFmtId="0" xfId="0" applyAlignment="1" applyFont="1">
      <alignment horizontal="center" vertical="bottom"/>
    </xf>
    <xf borderId="21" fillId="0" fontId="1" numFmtId="164" xfId="0" applyBorder="1" applyFont="1" applyNumberFormat="1"/>
    <xf borderId="0" fillId="0" fontId="1" numFmtId="0" xfId="0" applyAlignment="1" applyFont="1">
      <alignment readingOrder="0" vertical="center"/>
    </xf>
    <xf borderId="21" fillId="5" fontId="9" numFmtId="165" xfId="0" applyBorder="1" applyFill="1" applyFont="1" applyNumberFormat="1"/>
    <xf borderId="21" fillId="5" fontId="7" numFmtId="165" xfId="0" applyAlignment="1" applyBorder="1" applyFill="1" applyFont="1" applyNumberFormat="1">
      <alignment horizontal="center" readingOrder="0" vertical="bottom"/>
    </xf>
    <xf borderId="4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21" fillId="5" fontId="7" numFmtId="165" xfId="0" applyAlignment="1" applyBorder="1" applyFill="1" applyFont="1" applyNumberFormat="1">
      <alignment horizontal="center" readingOrder="0" vertical="center"/>
    </xf>
    <xf borderId="21" fillId="5" fontId="12" numFmtId="0" xfId="0" applyAlignment="1" applyBorder="1" applyFill="1" applyFont="1">
      <alignment horizontal="center" readingOrder="0" vertical="center"/>
    </xf>
    <xf borderId="21" fillId="0" fontId="7" numFmtId="0" xfId="0" applyAlignment="1" applyBorder="1" applyFont="1">
      <alignment horizontal="center"/>
    </xf>
    <xf borderId="21" fillId="0" fontId="10" numFmtId="0" xfId="0" applyAlignment="1" applyBorder="1" applyFont="1">
      <alignment horizontal="center"/>
    </xf>
    <xf borderId="21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21" fillId="5" fontId="7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21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vertical="bottom"/>
    </xf>
    <xf borderId="21" fillId="5" fontId="9" numFmtId="165" xfId="0" applyAlignment="1" applyBorder="1" applyFill="1" applyFont="1" applyNumberFormat="1">
      <alignment vertical="bottom"/>
    </xf>
    <xf borderId="0" fillId="0" fontId="9" numFmtId="0" xfId="0" applyAlignment="1" applyFont="1">
      <alignment vertical="bottom"/>
    </xf>
    <xf borderId="0" fillId="0" fontId="13" numFmtId="0" xfId="0" applyAlignment="1" applyFont="1">
      <alignment vertical="bottom"/>
    </xf>
    <xf borderId="4" fillId="0" fontId="9" numFmtId="0" xfId="0" applyAlignment="1" applyBorder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reXDYpGm-jyd2x9mpunICs7n3HstU_fuXFW8Qz6ZZM/edit?gid=0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reXDYpGm-jyd2x9mpunICs7n3HstU_fuXFW8Qz6ZZM/edit?gid=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reXDYpGm-jyd2x9mpunICs7n3HstU_fuXFW8Qz6ZZM/edit?gid=0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9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3" t="s">
        <v>3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"/>
      <c r="B13" s="6"/>
      <c r="C13" s="30">
        <v>1.0</v>
      </c>
      <c r="D13" s="32" t="s">
        <v>20</v>
      </c>
      <c r="E13" s="30">
        <v>1.8572610006E10</v>
      </c>
      <c r="F13" s="35">
        <v>46204.0</v>
      </c>
      <c r="G13" s="38">
        <v>0.6666666666666666</v>
      </c>
      <c r="H13" s="38">
        <v>0.7083333333333334</v>
      </c>
      <c r="I13" s="41"/>
      <c r="J13" s="38" t="str">
        <f t="shared" ref="J13:J20" si="1">INT((H13-G13)*24) &amp; " jam"</f>
        <v>1 jam</v>
      </c>
      <c r="K13" s="51" t="s">
        <v>26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2.25" customHeight="1">
      <c r="A14" s="1"/>
      <c r="B14" s="6"/>
      <c r="C14" s="53">
        <f t="shared" ref="C14:C23" si="2">C13+1</f>
        <v>2</v>
      </c>
      <c r="D14" s="32" t="s">
        <v>21</v>
      </c>
      <c r="E14" s="30">
        <v>1.8572610003E10</v>
      </c>
      <c r="F14" s="35">
        <v>46204.0</v>
      </c>
      <c r="G14" s="38">
        <v>0.6666666666666666</v>
      </c>
      <c r="H14" s="38">
        <v>0.7916666666666666</v>
      </c>
      <c r="I14" s="41"/>
      <c r="J14" s="38" t="str">
        <f t="shared" si="1"/>
        <v>3 jam</v>
      </c>
      <c r="K14" s="51" t="s">
        <v>31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2.25" customHeight="1">
      <c r="A15" s="1"/>
      <c r="B15" s="6"/>
      <c r="C15" s="53">
        <f t="shared" si="2"/>
        <v>3</v>
      </c>
      <c r="D15" s="32" t="s">
        <v>23</v>
      </c>
      <c r="E15" s="30">
        <v>1.8572610004E10</v>
      </c>
      <c r="F15" s="35">
        <v>46204.0</v>
      </c>
      <c r="G15" s="38">
        <v>0.6666666666666666</v>
      </c>
      <c r="H15" s="38">
        <v>0.7916666666666666</v>
      </c>
      <c r="I15" s="41"/>
      <c r="J15" s="38" t="str">
        <f t="shared" si="1"/>
        <v>3 jam</v>
      </c>
      <c r="K15" s="51" t="s">
        <v>32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2.25" customHeight="1">
      <c r="A16" s="1"/>
      <c r="B16" s="6"/>
      <c r="C16" s="53">
        <f t="shared" si="2"/>
        <v>4</v>
      </c>
      <c r="D16" s="32" t="s">
        <v>21</v>
      </c>
      <c r="E16" s="30">
        <v>1.8572610003E10</v>
      </c>
      <c r="F16" s="35">
        <v>46205.0</v>
      </c>
      <c r="G16" s="38">
        <v>0.6666666666666666</v>
      </c>
      <c r="H16" s="38">
        <v>0.75</v>
      </c>
      <c r="I16" s="41"/>
      <c r="J16" s="38" t="str">
        <f t="shared" si="1"/>
        <v>2 jam</v>
      </c>
      <c r="K16" s="51" t="s">
        <v>37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2.25" customHeight="1">
      <c r="A17" s="1"/>
      <c r="B17" s="6"/>
      <c r="C17" s="53">
        <f t="shared" si="2"/>
        <v>5</v>
      </c>
      <c r="D17" s="32" t="s">
        <v>20</v>
      </c>
      <c r="E17" s="30">
        <v>1.8572610006E10</v>
      </c>
      <c r="F17" s="35">
        <v>46205.0</v>
      </c>
      <c r="G17" s="38">
        <v>0.6666666666666666</v>
      </c>
      <c r="H17" s="38">
        <v>0.7083333333333334</v>
      </c>
      <c r="I17" s="41"/>
      <c r="J17" s="38" t="str">
        <f t="shared" si="1"/>
        <v>1 jam</v>
      </c>
      <c r="K17" s="51" t="s">
        <v>39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2.25" customHeight="1">
      <c r="A18" s="1"/>
      <c r="B18" s="6"/>
      <c r="C18" s="53">
        <f t="shared" si="2"/>
        <v>6</v>
      </c>
      <c r="D18" s="32" t="s">
        <v>22</v>
      </c>
      <c r="E18" s="30">
        <v>1.8572610005E10</v>
      </c>
      <c r="F18" s="35">
        <v>46205.0</v>
      </c>
      <c r="G18" s="38">
        <v>0.6666666666666666</v>
      </c>
      <c r="H18" s="38">
        <v>0.75</v>
      </c>
      <c r="I18" s="41"/>
      <c r="J18" s="38" t="str">
        <f t="shared" si="1"/>
        <v>2 jam</v>
      </c>
      <c r="K18" s="51" t="s">
        <v>42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2.25" customHeight="1">
      <c r="A19" s="1"/>
      <c r="B19" s="6"/>
      <c r="C19" s="53">
        <f t="shared" si="2"/>
        <v>7</v>
      </c>
      <c r="D19" s="32" t="s">
        <v>23</v>
      </c>
      <c r="E19" s="30">
        <v>1.8572610004E10</v>
      </c>
      <c r="F19" s="35">
        <v>46206.0</v>
      </c>
      <c r="G19" s="38">
        <v>0.6666666666666666</v>
      </c>
      <c r="H19" s="38">
        <v>0.75</v>
      </c>
      <c r="I19" s="41"/>
      <c r="J19" s="38" t="str">
        <f t="shared" si="1"/>
        <v>2 jam</v>
      </c>
      <c r="K19" s="51" t="s">
        <v>44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2.25" customHeight="1">
      <c r="A20" s="1"/>
      <c r="B20" s="6"/>
      <c r="C20" s="53">
        <f t="shared" si="2"/>
        <v>8</v>
      </c>
      <c r="D20" s="32" t="s">
        <v>21</v>
      </c>
      <c r="E20" s="30">
        <v>1.8572610003E10</v>
      </c>
      <c r="F20" s="35">
        <v>46206.0</v>
      </c>
      <c r="G20" s="38">
        <v>0.6666666666666666</v>
      </c>
      <c r="H20" s="38">
        <v>0.875</v>
      </c>
      <c r="I20" s="41"/>
      <c r="J20" s="38" t="str">
        <f t="shared" si="1"/>
        <v>5 jam</v>
      </c>
      <c r="K20" s="51" t="s">
        <v>46</v>
      </c>
      <c r="L20" s="50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2.25" customHeight="1">
      <c r="A21" s="1"/>
      <c r="B21" s="6"/>
      <c r="C21" s="53">
        <f t="shared" si="2"/>
        <v>9</v>
      </c>
      <c r="D21" s="32" t="s">
        <v>22</v>
      </c>
      <c r="E21" s="30">
        <v>1.8572610005E10</v>
      </c>
      <c r="F21" s="35">
        <v>46206.0</v>
      </c>
      <c r="G21" s="38">
        <v>0.5</v>
      </c>
      <c r="H21" s="38">
        <v>0.5416666666666666</v>
      </c>
      <c r="I21" s="56" t="s">
        <v>24</v>
      </c>
      <c r="J21" s="58" t="s">
        <v>33</v>
      </c>
      <c r="K21" s="51" t="s">
        <v>36</v>
      </c>
      <c r="L21" s="50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2.25" customHeight="1">
      <c r="A22" s="1"/>
      <c r="B22" s="6"/>
      <c r="C22" s="53">
        <f t="shared" si="2"/>
        <v>10</v>
      </c>
      <c r="D22" s="32" t="s">
        <v>21</v>
      </c>
      <c r="E22" s="30">
        <v>1.8572610003E10</v>
      </c>
      <c r="F22" s="35">
        <v>46207.0</v>
      </c>
      <c r="G22" s="38">
        <v>0.5833333333333334</v>
      </c>
      <c r="H22" s="38">
        <v>0.7083333333333334</v>
      </c>
      <c r="I22" s="41"/>
      <c r="J22" s="38" t="str">
        <f t="shared" ref="J22:J23" si="3">INT((H22-G22)*24) &amp; " jam"</f>
        <v>3 jam</v>
      </c>
      <c r="K22" s="51" t="s">
        <v>54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2.25" customHeight="1">
      <c r="A23" s="1"/>
      <c r="B23" s="6"/>
      <c r="C23" s="53">
        <f t="shared" si="2"/>
        <v>11</v>
      </c>
      <c r="D23" s="32" t="s">
        <v>20</v>
      </c>
      <c r="E23" s="30">
        <v>1.8572610006E10</v>
      </c>
      <c r="F23" s="35">
        <v>46207.0</v>
      </c>
      <c r="G23" s="38">
        <v>0.5833333333333334</v>
      </c>
      <c r="H23" s="38">
        <v>0.7083333333333334</v>
      </c>
      <c r="I23" s="41"/>
      <c r="J23" s="38" t="str">
        <f t="shared" si="3"/>
        <v>3 jam</v>
      </c>
      <c r="K23" s="51" t="s">
        <v>57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outlineLevel="1">
      <c r="A24" s="1"/>
      <c r="B24" s="6"/>
      <c r="C24" s="68"/>
      <c r="D24" s="68"/>
      <c r="E24" s="1"/>
      <c r="F24" s="1"/>
      <c r="G24" s="1"/>
      <c r="H24" s="68"/>
      <c r="I24" s="68"/>
      <c r="J24" s="1"/>
      <c r="K24" s="68"/>
      <c r="L24" s="1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outlineLevel="1">
      <c r="A25" s="1"/>
      <c r="B25" s="6"/>
      <c r="C25" s="68"/>
      <c r="D25" s="68"/>
      <c r="E25" s="1"/>
      <c r="F25" s="1"/>
      <c r="G25" s="1"/>
      <c r="H25" s="68"/>
      <c r="I25" s="68"/>
      <c r="J25" s="1"/>
      <c r="K25" s="68"/>
      <c r="L25" s="1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outlineLevel="1">
      <c r="A26" s="1"/>
      <c r="B26" s="6"/>
      <c r="C26" s="68" t="s">
        <v>63</v>
      </c>
      <c r="E26" s="1"/>
      <c r="F26" s="1"/>
      <c r="H26" s="68"/>
      <c r="J26" s="1"/>
      <c r="K26" s="68" t="s">
        <v>64</v>
      </c>
      <c r="L26" s="1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71" t="s">
        <v>73</v>
      </c>
      <c r="E33" s="1"/>
      <c r="F33" s="1"/>
      <c r="G33" s="1"/>
      <c r="H33" s="1"/>
      <c r="I33" s="1"/>
      <c r="J33" s="1"/>
      <c r="K33" s="7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72" t="s">
        <v>77</v>
      </c>
      <c r="E34" s="1"/>
      <c r="F34" s="1"/>
      <c r="H34" s="68"/>
      <c r="J34" s="1"/>
      <c r="K34" s="71" t="s">
        <v>78</v>
      </c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7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34:G34"/>
    <mergeCell ref="H34:I34"/>
    <mergeCell ref="D11:D12"/>
    <mergeCell ref="E11:E12"/>
    <mergeCell ref="C26:D26"/>
    <mergeCell ref="F26:G26"/>
    <mergeCell ref="H26:I26"/>
    <mergeCell ref="C33:D33"/>
    <mergeCell ref="C34:D34"/>
  </mergeCells>
  <dataValidations>
    <dataValidation type="list" allowBlank="1" showErrorMessage="1" sqref="D13:D23">
      <formula1>"INDA MUTMAINNA,ANUGRAH NUR AULIANI,FIRJIANTO GERALD MANDORO,ZA'IM FATHURRAHMAN ILHAM"</formula1>
    </dataValidation>
    <dataValidation type="list" allowBlank="1" showErrorMessage="1" sqref="E13:E23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9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3" t="s">
        <v>1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"/>
      <c r="B13" s="6"/>
      <c r="C13" s="30">
        <v>1.0</v>
      </c>
      <c r="D13" s="45" t="s">
        <v>23</v>
      </c>
      <c r="E13" s="30">
        <v>1.8572610004E10</v>
      </c>
      <c r="F13" s="47">
        <v>46209.0</v>
      </c>
      <c r="G13" s="38">
        <v>0.6666666666666666</v>
      </c>
      <c r="H13" s="38">
        <v>0.75</v>
      </c>
      <c r="I13" s="41"/>
      <c r="J13" s="38" t="str">
        <f>INT((H13-G13)*24) &amp; " jam"</f>
        <v>2 jam</v>
      </c>
      <c r="K13" s="52" t="s">
        <v>29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2.25" customHeight="1">
      <c r="A14" s="1"/>
      <c r="B14" s="6"/>
      <c r="C14" s="53">
        <f t="shared" ref="C14:C34" si="1">C13+1</f>
        <v>2</v>
      </c>
      <c r="D14" s="45" t="s">
        <v>22</v>
      </c>
      <c r="E14" s="30">
        <v>1.8572610005E10</v>
      </c>
      <c r="F14" s="47">
        <v>46209.0</v>
      </c>
      <c r="G14" s="38">
        <v>0.5</v>
      </c>
      <c r="H14" s="38">
        <v>0.5416666666666666</v>
      </c>
      <c r="I14" s="56" t="s">
        <v>24</v>
      </c>
      <c r="J14" s="58" t="s">
        <v>33</v>
      </c>
      <c r="K14" s="51" t="s">
        <v>36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2.25" customHeight="1">
      <c r="A15" s="1"/>
      <c r="B15" s="6"/>
      <c r="C15" s="53">
        <f t="shared" si="1"/>
        <v>3</v>
      </c>
      <c r="D15" s="45" t="s">
        <v>23</v>
      </c>
      <c r="E15" s="30">
        <v>1.8572610004E10</v>
      </c>
      <c r="F15" s="47">
        <v>46210.0</v>
      </c>
      <c r="G15" s="38">
        <v>0.6666666666666666</v>
      </c>
      <c r="H15" s="59">
        <v>0.75</v>
      </c>
      <c r="I15" s="56" t="s">
        <v>24</v>
      </c>
      <c r="J15" s="38" t="str">
        <f t="shared" ref="J15:J33" si="2">INT((H15-G15)*24) &amp; " jam"</f>
        <v>2 jam</v>
      </c>
      <c r="K15" s="60" t="s">
        <v>43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2.25" customHeight="1">
      <c r="A16" s="1"/>
      <c r="B16" s="6"/>
      <c r="C16" s="53">
        <f t="shared" si="1"/>
        <v>4</v>
      </c>
      <c r="D16" s="45" t="s">
        <v>21</v>
      </c>
      <c r="E16" s="30">
        <v>1.8572610003E10</v>
      </c>
      <c r="F16" s="47">
        <v>46210.0</v>
      </c>
      <c r="G16" s="38">
        <v>0.6666666666666666</v>
      </c>
      <c r="H16" s="59">
        <v>0.7916666666666666</v>
      </c>
      <c r="I16" s="56" t="s">
        <v>24</v>
      </c>
      <c r="J16" s="38" t="str">
        <f t="shared" si="2"/>
        <v>3 jam</v>
      </c>
      <c r="K16" s="60" t="s">
        <v>48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"/>
      <c r="C17" s="53">
        <f t="shared" si="1"/>
        <v>5</v>
      </c>
      <c r="D17" s="45" t="s">
        <v>21</v>
      </c>
      <c r="E17" s="30">
        <v>1.8572610003E10</v>
      </c>
      <c r="F17" s="47">
        <v>46210.0</v>
      </c>
      <c r="G17" s="59">
        <v>0.875</v>
      </c>
      <c r="H17" s="59">
        <v>0.9583333333333334</v>
      </c>
      <c r="I17" s="56" t="s">
        <v>24</v>
      </c>
      <c r="J17" s="38" t="str">
        <f t="shared" si="2"/>
        <v>2 jam</v>
      </c>
      <c r="K17" s="60" t="s">
        <v>50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6"/>
      <c r="C18" s="53">
        <f t="shared" si="1"/>
        <v>6</v>
      </c>
      <c r="D18" s="45" t="s">
        <v>22</v>
      </c>
      <c r="E18" s="30">
        <v>1.8572610005E10</v>
      </c>
      <c r="F18" s="47">
        <v>46210.0</v>
      </c>
      <c r="G18" s="38">
        <v>0.6666666666666666</v>
      </c>
      <c r="H18" s="59">
        <v>0.8333333333333334</v>
      </c>
      <c r="I18" s="56" t="s">
        <v>24</v>
      </c>
      <c r="J18" s="38" t="str">
        <f t="shared" si="2"/>
        <v>4 jam</v>
      </c>
      <c r="K18" s="60" t="s">
        <v>53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6"/>
      <c r="C19" s="53">
        <f t="shared" si="1"/>
        <v>7</v>
      </c>
      <c r="D19" s="45" t="s">
        <v>20</v>
      </c>
      <c r="E19" s="30">
        <v>1.8572610006E10</v>
      </c>
      <c r="F19" s="47">
        <v>46210.0</v>
      </c>
      <c r="G19" s="38">
        <v>0.6666666666666666</v>
      </c>
      <c r="H19" s="59">
        <v>0.75</v>
      </c>
      <c r="I19" s="56" t="s">
        <v>24</v>
      </c>
      <c r="J19" s="38" t="str">
        <f t="shared" si="2"/>
        <v>2 jam</v>
      </c>
      <c r="K19" s="60" t="s">
        <v>55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6"/>
      <c r="C20" s="53">
        <f t="shared" si="1"/>
        <v>8</v>
      </c>
      <c r="D20" s="45" t="s">
        <v>23</v>
      </c>
      <c r="E20" s="30">
        <v>1.8572610004E10</v>
      </c>
      <c r="F20" s="47">
        <v>46211.0</v>
      </c>
      <c r="G20" s="38">
        <v>0.6666666666666666</v>
      </c>
      <c r="H20" s="59">
        <v>0.7083333333333334</v>
      </c>
      <c r="I20" s="56" t="s">
        <v>24</v>
      </c>
      <c r="J20" s="38" t="str">
        <f t="shared" si="2"/>
        <v>1 jam</v>
      </c>
      <c r="K20" s="60" t="s">
        <v>59</v>
      </c>
      <c r="L20" s="50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6"/>
      <c r="C21" s="53">
        <f t="shared" si="1"/>
        <v>9</v>
      </c>
      <c r="D21" s="45" t="s">
        <v>21</v>
      </c>
      <c r="E21" s="30">
        <v>1.8572610003E10</v>
      </c>
      <c r="F21" s="47">
        <v>46211.0</v>
      </c>
      <c r="G21" s="38">
        <v>0.6666666666666666</v>
      </c>
      <c r="H21" s="59">
        <v>0.75</v>
      </c>
      <c r="I21" s="56" t="s">
        <v>24</v>
      </c>
      <c r="J21" s="38" t="str">
        <f t="shared" si="2"/>
        <v>2 jam</v>
      </c>
      <c r="K21" s="60" t="s">
        <v>61</v>
      </c>
      <c r="L21" s="50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61"/>
      <c r="B22" s="62"/>
      <c r="C22" s="53">
        <f t="shared" si="1"/>
        <v>10</v>
      </c>
      <c r="D22" s="33" t="s">
        <v>20</v>
      </c>
      <c r="E22" s="37">
        <v>1.8572610006E10</v>
      </c>
      <c r="F22" s="54">
        <v>46211.0</v>
      </c>
      <c r="G22" s="55">
        <v>0.6666666666666666</v>
      </c>
      <c r="H22" s="55">
        <v>0.75</v>
      </c>
      <c r="I22" s="44" t="s">
        <v>24</v>
      </c>
      <c r="J22" s="55" t="str">
        <f t="shared" si="2"/>
        <v>2 jam</v>
      </c>
      <c r="K22" s="48" t="s">
        <v>67</v>
      </c>
      <c r="L22" s="65"/>
      <c r="M22" s="66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2"/>
      <c r="C23" s="53">
        <f t="shared" si="1"/>
        <v>11</v>
      </c>
      <c r="D23" s="45" t="s">
        <v>22</v>
      </c>
      <c r="E23" s="30">
        <v>1.8572610005E10</v>
      </c>
      <c r="F23" s="54">
        <v>46211.0</v>
      </c>
      <c r="G23" s="55">
        <v>0.6666666666666666</v>
      </c>
      <c r="H23" s="59">
        <v>0.7916666666666666</v>
      </c>
      <c r="I23" s="44" t="s">
        <v>24</v>
      </c>
      <c r="J23" s="55" t="str">
        <f t="shared" si="2"/>
        <v>3 jam</v>
      </c>
      <c r="K23" s="48" t="s">
        <v>71</v>
      </c>
      <c r="L23" s="65"/>
      <c r="M23" s="66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2"/>
      <c r="C24" s="53">
        <f t="shared" si="1"/>
        <v>12</v>
      </c>
      <c r="D24" s="70" t="s">
        <v>20</v>
      </c>
      <c r="E24" s="37">
        <v>1.8572610006E10</v>
      </c>
      <c r="F24" s="40">
        <v>46212.0</v>
      </c>
      <c r="G24" s="55">
        <v>0.6666666666666666</v>
      </c>
      <c r="H24" s="43">
        <v>0.7083333333333334</v>
      </c>
      <c r="I24" s="44" t="s">
        <v>24</v>
      </c>
      <c r="J24" s="55" t="str">
        <f t="shared" si="2"/>
        <v>1 jam</v>
      </c>
      <c r="K24" s="48" t="s">
        <v>75</v>
      </c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1"/>
      <c r="B25" s="6"/>
      <c r="C25" s="53">
        <f t="shared" si="1"/>
        <v>13</v>
      </c>
      <c r="D25" s="45" t="s">
        <v>23</v>
      </c>
      <c r="E25" s="30">
        <v>1.8572610004E10</v>
      </c>
      <c r="F25" s="47">
        <v>46212.0</v>
      </c>
      <c r="G25" s="38">
        <v>0.6666666666666666</v>
      </c>
      <c r="H25" s="59">
        <v>0.75</v>
      </c>
      <c r="I25" s="56" t="s">
        <v>24</v>
      </c>
      <c r="J25" s="38" t="str">
        <f t="shared" si="2"/>
        <v>2 jam</v>
      </c>
      <c r="K25" s="60" t="s">
        <v>80</v>
      </c>
      <c r="L25" s="50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6"/>
      <c r="C26" s="53">
        <f t="shared" si="1"/>
        <v>14</v>
      </c>
      <c r="D26" s="45" t="s">
        <v>21</v>
      </c>
      <c r="E26" s="30">
        <v>1.8572610003E10</v>
      </c>
      <c r="F26" s="47">
        <v>46212.0</v>
      </c>
      <c r="G26" s="38">
        <v>0.6666666666666666</v>
      </c>
      <c r="H26" s="59">
        <v>0.75</v>
      </c>
      <c r="I26" s="56" t="s">
        <v>24</v>
      </c>
      <c r="J26" s="38" t="str">
        <f t="shared" si="2"/>
        <v>2 jam</v>
      </c>
      <c r="K26" s="60" t="s">
        <v>83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53">
        <f t="shared" si="1"/>
        <v>15</v>
      </c>
      <c r="D27" s="45" t="s">
        <v>22</v>
      </c>
      <c r="E27" s="30">
        <v>1.8572610005E10</v>
      </c>
      <c r="F27" s="47">
        <v>46212.0</v>
      </c>
      <c r="G27" s="38">
        <v>0.6666666666666666</v>
      </c>
      <c r="H27" s="59">
        <v>0.75</v>
      </c>
      <c r="I27" s="56" t="s">
        <v>24</v>
      </c>
      <c r="J27" s="38" t="str">
        <f t="shared" si="2"/>
        <v>2 jam</v>
      </c>
      <c r="K27" s="60" t="s">
        <v>86</v>
      </c>
      <c r="L27" s="50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"/>
      <c r="C28" s="53">
        <f t="shared" si="1"/>
        <v>16</v>
      </c>
      <c r="D28" s="45" t="s">
        <v>22</v>
      </c>
      <c r="E28" s="30">
        <v>1.8572610005E10</v>
      </c>
      <c r="F28" s="47">
        <v>46213.0</v>
      </c>
      <c r="G28" s="38">
        <v>0.6666666666666666</v>
      </c>
      <c r="H28" s="59">
        <v>0.7083333333333334</v>
      </c>
      <c r="I28" s="56" t="s">
        <v>24</v>
      </c>
      <c r="J28" s="38" t="str">
        <f t="shared" si="2"/>
        <v>1 jam</v>
      </c>
      <c r="K28" s="60" t="s">
        <v>87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61"/>
      <c r="B29" s="62"/>
      <c r="C29" s="53">
        <f t="shared" si="1"/>
        <v>17</v>
      </c>
      <c r="D29" s="70" t="s">
        <v>20</v>
      </c>
      <c r="E29" s="37">
        <v>1.8572610006E10</v>
      </c>
      <c r="F29" s="40">
        <v>46213.0</v>
      </c>
      <c r="G29" s="55">
        <v>0.6666666666666666</v>
      </c>
      <c r="H29" s="43">
        <v>0.7083333333333334</v>
      </c>
      <c r="I29" s="44" t="s">
        <v>24</v>
      </c>
      <c r="J29" s="55" t="str">
        <f t="shared" si="2"/>
        <v>1 jam</v>
      </c>
      <c r="K29" s="48" t="s">
        <v>89</v>
      </c>
      <c r="L29" s="50"/>
      <c r="M29" s="66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2"/>
      <c r="C30" s="53">
        <f t="shared" si="1"/>
        <v>18</v>
      </c>
      <c r="D30" s="33" t="s">
        <v>21</v>
      </c>
      <c r="E30" s="37">
        <v>1.8572610003E10</v>
      </c>
      <c r="F30" s="40">
        <v>46213.0</v>
      </c>
      <c r="G30" s="55">
        <v>0.6666666666666666</v>
      </c>
      <c r="H30" s="43">
        <v>0.75</v>
      </c>
      <c r="I30" s="44" t="s">
        <v>24</v>
      </c>
      <c r="J30" s="55" t="str">
        <f t="shared" si="2"/>
        <v>2 jam</v>
      </c>
      <c r="K30" s="48" t="s">
        <v>92</v>
      </c>
      <c r="L30" s="50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2"/>
      <c r="C31" s="53">
        <f t="shared" si="1"/>
        <v>19</v>
      </c>
      <c r="D31" s="33" t="s">
        <v>23</v>
      </c>
      <c r="E31" s="37">
        <v>1.8572610004E10</v>
      </c>
      <c r="F31" s="40">
        <v>46213.0</v>
      </c>
      <c r="G31" s="55">
        <v>0.6666666666666666</v>
      </c>
      <c r="H31" s="43">
        <v>0.75</v>
      </c>
      <c r="I31" s="44" t="s">
        <v>24</v>
      </c>
      <c r="J31" s="55" t="str">
        <f t="shared" si="2"/>
        <v>2 jam</v>
      </c>
      <c r="K31" s="48" t="s">
        <v>94</v>
      </c>
      <c r="L31" s="50"/>
      <c r="M31" s="66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1"/>
      <c r="B32" s="62"/>
      <c r="C32" s="53">
        <f t="shared" si="1"/>
        <v>20</v>
      </c>
      <c r="D32" s="33" t="s">
        <v>21</v>
      </c>
      <c r="E32" s="37">
        <v>1.8572610003E10</v>
      </c>
      <c r="F32" s="40">
        <v>46214.0</v>
      </c>
      <c r="G32" s="43">
        <v>0.5833333333333334</v>
      </c>
      <c r="H32" s="43">
        <v>0.6666666666666666</v>
      </c>
      <c r="I32" s="44" t="s">
        <v>24</v>
      </c>
      <c r="J32" s="55" t="str">
        <f t="shared" si="2"/>
        <v>2 jam</v>
      </c>
      <c r="K32" s="48" t="s">
        <v>96</v>
      </c>
      <c r="L32" s="50"/>
      <c r="M32" s="66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1"/>
      <c r="B33" s="62"/>
      <c r="C33" s="53">
        <f t="shared" si="1"/>
        <v>21</v>
      </c>
      <c r="D33" s="33" t="s">
        <v>22</v>
      </c>
      <c r="E33" s="37">
        <v>1.8572610005E10</v>
      </c>
      <c r="F33" s="40">
        <v>46214.0</v>
      </c>
      <c r="G33" s="43">
        <v>0.5833333333333334</v>
      </c>
      <c r="H33" s="43">
        <v>0.75</v>
      </c>
      <c r="I33" s="44" t="s">
        <v>24</v>
      </c>
      <c r="J33" s="55" t="str">
        <f t="shared" si="2"/>
        <v>4 jam</v>
      </c>
      <c r="K33" s="48" t="s">
        <v>98</v>
      </c>
      <c r="L33" s="50"/>
      <c r="M33" s="66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61"/>
      <c r="B34" s="62"/>
      <c r="C34" s="53">
        <f t="shared" si="1"/>
        <v>22</v>
      </c>
      <c r="D34" s="33" t="s">
        <v>23</v>
      </c>
      <c r="E34" s="37">
        <v>1.8572610004E10</v>
      </c>
      <c r="F34" s="40">
        <v>46214.0</v>
      </c>
      <c r="G34" s="43">
        <v>0.5833333333333334</v>
      </c>
      <c r="H34" s="43">
        <v>0.625</v>
      </c>
      <c r="I34" s="44" t="s">
        <v>24</v>
      </c>
      <c r="J34" s="46" t="s">
        <v>25</v>
      </c>
      <c r="K34" s="48" t="s">
        <v>99</v>
      </c>
      <c r="L34" s="50"/>
      <c r="M34" s="66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76" t="s">
        <v>63</v>
      </c>
      <c r="E36" s="61"/>
      <c r="F36" s="61"/>
      <c r="H36" s="61"/>
      <c r="J36" s="61"/>
      <c r="K36" s="76" t="s">
        <v>64</v>
      </c>
      <c r="L36" s="6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6"/>
      <c r="C44" s="71" t="s">
        <v>73</v>
      </c>
      <c r="E44" s="1"/>
      <c r="F44" s="1"/>
      <c r="G44" s="1"/>
      <c r="H44" s="1"/>
      <c r="I44" s="1"/>
      <c r="J44" s="1"/>
      <c r="K44" s="71"/>
      <c r="L44" s="1"/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6"/>
      <c r="C45" s="72" t="s">
        <v>77</v>
      </c>
      <c r="E45" s="1"/>
      <c r="F45" s="1"/>
      <c r="H45" s="68"/>
      <c r="J45" s="1"/>
      <c r="K45" s="71" t="s">
        <v>78</v>
      </c>
      <c r="L45" s="1"/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7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5:G45"/>
    <mergeCell ref="H45:I45"/>
    <mergeCell ref="D11:D12"/>
    <mergeCell ref="E11:E12"/>
    <mergeCell ref="C36:D36"/>
    <mergeCell ref="F36:G36"/>
    <mergeCell ref="H36:I36"/>
    <mergeCell ref="C44:D44"/>
    <mergeCell ref="C45:D45"/>
  </mergeCells>
  <dataValidations>
    <dataValidation type="list" allowBlank="1" showErrorMessage="1" sqref="D13:D34">
      <formula1>"INDA MUTMAINNA,ANUGRAH NUR AULIANI,FIRJIANTO GERALD MANDORO,ZA'IM FATHURRAHMAN ILHAM"</formula1>
    </dataValidation>
    <dataValidation type="list" allowBlank="1" showErrorMessage="1" sqref="E13:E34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9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3" t="s">
        <v>4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"/>
      <c r="B13" s="6"/>
      <c r="C13" s="30">
        <v>1.0</v>
      </c>
      <c r="D13" s="33" t="s">
        <v>21</v>
      </c>
      <c r="E13" s="37">
        <v>1.8572610003E10</v>
      </c>
      <c r="F13" s="40">
        <v>46216.0</v>
      </c>
      <c r="G13" s="43">
        <v>0.6666666666666666</v>
      </c>
      <c r="H13" s="43">
        <v>0.7083333333333334</v>
      </c>
      <c r="I13" s="44" t="s">
        <v>24</v>
      </c>
      <c r="J13" s="46" t="s">
        <v>25</v>
      </c>
      <c r="K13" s="48" t="s">
        <v>27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2.25" customHeight="1">
      <c r="A14" s="1"/>
      <c r="B14" s="6"/>
      <c r="C14" s="53">
        <f t="shared" ref="C14:C28" si="1">C13+1</f>
        <v>2</v>
      </c>
      <c r="D14" s="33" t="s">
        <v>23</v>
      </c>
      <c r="E14" s="37">
        <v>1.8572610004E10</v>
      </c>
      <c r="F14" s="40">
        <v>46216.0</v>
      </c>
      <c r="G14" s="43">
        <v>0.6666666666666666</v>
      </c>
      <c r="H14" s="43">
        <v>0.7083333333333334</v>
      </c>
      <c r="I14" s="44" t="s">
        <v>24</v>
      </c>
      <c r="J14" s="46" t="s">
        <v>25</v>
      </c>
      <c r="K14" s="48" t="s">
        <v>30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2.25" customHeight="1">
      <c r="A15" s="1"/>
      <c r="B15" s="6"/>
      <c r="C15" s="53">
        <f t="shared" si="1"/>
        <v>3</v>
      </c>
      <c r="D15" s="33" t="s">
        <v>20</v>
      </c>
      <c r="E15" s="37">
        <v>1.8572610006E10</v>
      </c>
      <c r="F15" s="54">
        <v>46216.0</v>
      </c>
      <c r="G15" s="55">
        <v>0.6666666666666666</v>
      </c>
      <c r="H15" s="55">
        <v>0.7083333333333334</v>
      </c>
      <c r="I15" s="44" t="s">
        <v>24</v>
      </c>
      <c r="J15" s="57" t="s">
        <v>25</v>
      </c>
      <c r="K15" s="48" t="s">
        <v>34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2.25" customHeight="1">
      <c r="A16" s="1"/>
      <c r="B16" s="6"/>
      <c r="C16" s="53">
        <f t="shared" si="1"/>
        <v>4</v>
      </c>
      <c r="D16" s="33" t="s">
        <v>20</v>
      </c>
      <c r="E16" s="37">
        <v>1.8572610006E10</v>
      </c>
      <c r="F16" s="40">
        <v>46217.0</v>
      </c>
      <c r="G16" s="55">
        <v>0.6666666666666666</v>
      </c>
      <c r="H16" s="55">
        <v>0.7083333333333334</v>
      </c>
      <c r="I16" s="44" t="s">
        <v>24</v>
      </c>
      <c r="J16" s="57" t="s">
        <v>25</v>
      </c>
      <c r="K16" s="48" t="s">
        <v>38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2.25" customHeight="1">
      <c r="A17" s="1"/>
      <c r="B17" s="6"/>
      <c r="C17" s="53">
        <f t="shared" si="1"/>
        <v>5</v>
      </c>
      <c r="D17" s="33" t="s">
        <v>23</v>
      </c>
      <c r="E17" s="37">
        <v>1.8572610004E10</v>
      </c>
      <c r="F17" s="40">
        <v>46217.0</v>
      </c>
      <c r="G17" s="43">
        <v>0.6666666666666666</v>
      </c>
      <c r="H17" s="43">
        <v>0.7083333333333334</v>
      </c>
      <c r="I17" s="44" t="s">
        <v>24</v>
      </c>
      <c r="J17" s="46" t="s">
        <v>25</v>
      </c>
      <c r="K17" s="48" t="s">
        <v>40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2.25" customHeight="1">
      <c r="A18" s="1"/>
      <c r="B18" s="6"/>
      <c r="C18" s="53">
        <f t="shared" si="1"/>
        <v>6</v>
      </c>
      <c r="D18" s="33" t="s">
        <v>22</v>
      </c>
      <c r="E18" s="37">
        <v>1.8572610005E10</v>
      </c>
      <c r="F18" s="40">
        <v>46217.0</v>
      </c>
      <c r="G18" s="43">
        <v>0.5</v>
      </c>
      <c r="H18" s="43">
        <v>0.5416666666666666</v>
      </c>
      <c r="I18" s="44" t="s">
        <v>24</v>
      </c>
      <c r="J18" s="58" t="s">
        <v>33</v>
      </c>
      <c r="K18" s="48" t="s">
        <v>42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2.25" customHeight="1">
      <c r="A19" s="61"/>
      <c r="B19" s="62"/>
      <c r="C19" s="63">
        <f t="shared" si="1"/>
        <v>7</v>
      </c>
      <c r="D19" s="33" t="s">
        <v>20</v>
      </c>
      <c r="E19" s="37">
        <v>1.8572610006E10</v>
      </c>
      <c r="F19" s="40">
        <v>46218.0</v>
      </c>
      <c r="G19" s="43">
        <v>0.6666666666666666</v>
      </c>
      <c r="H19" s="43">
        <v>0.7083333333333334</v>
      </c>
      <c r="I19" s="44" t="s">
        <v>24</v>
      </c>
      <c r="J19" s="64" t="s">
        <v>33</v>
      </c>
      <c r="K19" s="48" t="s">
        <v>49</v>
      </c>
      <c r="L19" s="65"/>
      <c r="M19" s="66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1"/>
      <c r="B20" s="62"/>
      <c r="C20" s="63">
        <f t="shared" si="1"/>
        <v>8</v>
      </c>
      <c r="D20" s="33" t="s">
        <v>21</v>
      </c>
      <c r="E20" s="37">
        <v>1.8572610003E10</v>
      </c>
      <c r="F20" s="54">
        <v>46218.0</v>
      </c>
      <c r="G20" s="43">
        <v>0.6666666666666666</v>
      </c>
      <c r="H20" s="43">
        <v>0.7083333333333334</v>
      </c>
      <c r="I20" s="44" t="s">
        <v>24</v>
      </c>
      <c r="J20" s="67" t="s">
        <v>33</v>
      </c>
      <c r="K20" s="48" t="s">
        <v>51</v>
      </c>
      <c r="L20" s="65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ht="32.25" customHeight="1">
      <c r="A21" s="1"/>
      <c r="B21" s="6"/>
      <c r="C21" s="53">
        <f t="shared" si="1"/>
        <v>9</v>
      </c>
      <c r="D21" s="33" t="s">
        <v>23</v>
      </c>
      <c r="E21" s="37">
        <v>1.8572610004E10</v>
      </c>
      <c r="F21" s="54">
        <v>46218.0</v>
      </c>
      <c r="G21" s="43">
        <v>0.6666666666666666</v>
      </c>
      <c r="H21" s="43">
        <v>0.7083333333333334</v>
      </c>
      <c r="I21" s="44" t="s">
        <v>24</v>
      </c>
      <c r="J21" s="46" t="s">
        <v>25</v>
      </c>
      <c r="K21" s="48" t="s">
        <v>40</v>
      </c>
      <c r="L21" s="50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2.25" customHeight="1">
      <c r="A22" s="1"/>
      <c r="B22" s="6"/>
      <c r="C22" s="53">
        <f t="shared" si="1"/>
        <v>10</v>
      </c>
      <c r="D22" s="33" t="s">
        <v>22</v>
      </c>
      <c r="E22" s="37">
        <v>1.8572610005E10</v>
      </c>
      <c r="F22" s="54">
        <v>46218.0</v>
      </c>
      <c r="G22" s="43">
        <v>0.5</v>
      </c>
      <c r="H22" s="43">
        <v>0.5416666666666666</v>
      </c>
      <c r="I22" s="44" t="s">
        <v>24</v>
      </c>
      <c r="J22" s="58" t="s">
        <v>33</v>
      </c>
      <c r="K22" s="48" t="s">
        <v>56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2.25" customHeight="1">
      <c r="A23" s="1"/>
      <c r="B23" s="6"/>
      <c r="C23" s="53">
        <f t="shared" si="1"/>
        <v>11</v>
      </c>
      <c r="D23" s="33" t="s">
        <v>20</v>
      </c>
      <c r="E23" s="37">
        <v>1.8572610006E10</v>
      </c>
      <c r="F23" s="40">
        <v>46219.0</v>
      </c>
      <c r="G23" s="43">
        <v>0.6666666666666666</v>
      </c>
      <c r="H23" s="43">
        <v>0.7083333333333334</v>
      </c>
      <c r="I23" s="44" t="s">
        <v>24</v>
      </c>
      <c r="J23" s="46" t="s">
        <v>25</v>
      </c>
      <c r="K23" s="48" t="s">
        <v>60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2.25" customHeight="1">
      <c r="A24" s="1"/>
      <c r="B24" s="6"/>
      <c r="C24" s="53">
        <f t="shared" si="1"/>
        <v>12</v>
      </c>
      <c r="D24" s="33" t="s">
        <v>21</v>
      </c>
      <c r="E24" s="37">
        <v>1.8572610003E10</v>
      </c>
      <c r="F24" s="40">
        <v>46219.0</v>
      </c>
      <c r="G24" s="43">
        <v>0.6666666666666666</v>
      </c>
      <c r="H24" s="43">
        <v>0.7916666666666666</v>
      </c>
      <c r="I24" s="44" t="s">
        <v>24</v>
      </c>
      <c r="J24" s="38" t="str">
        <f t="shared" ref="J24:J29" si="2">INT((H24-G24)*24) &amp; " jam"</f>
        <v>3 jam</v>
      </c>
      <c r="K24" s="48" t="s">
        <v>66</v>
      </c>
      <c r="L24" s="50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2.25" customHeight="1">
      <c r="A25" s="1"/>
      <c r="B25" s="6"/>
      <c r="C25" s="53">
        <f t="shared" si="1"/>
        <v>13</v>
      </c>
      <c r="D25" s="33" t="s">
        <v>23</v>
      </c>
      <c r="E25" s="37">
        <v>1.8572610004E10</v>
      </c>
      <c r="F25" s="40">
        <v>46219.0</v>
      </c>
      <c r="G25" s="43">
        <v>0.6666666666666666</v>
      </c>
      <c r="H25" s="43">
        <v>0.7916666666666666</v>
      </c>
      <c r="I25" s="44" t="s">
        <v>24</v>
      </c>
      <c r="J25" s="38" t="str">
        <f t="shared" si="2"/>
        <v>3 jam</v>
      </c>
      <c r="K25" s="48" t="s">
        <v>69</v>
      </c>
      <c r="L25" s="50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55.5" customHeight="1">
      <c r="A26" s="1"/>
      <c r="B26" s="6"/>
      <c r="C26" s="69">
        <f t="shared" si="1"/>
        <v>14</v>
      </c>
      <c r="D26" s="34" t="s">
        <v>22</v>
      </c>
      <c r="E26" s="31">
        <v>1.8572610005E10</v>
      </c>
      <c r="F26" s="36">
        <v>46219.0</v>
      </c>
      <c r="G26" s="39">
        <v>0.625</v>
      </c>
      <c r="H26" s="39">
        <v>0.8333333333333334</v>
      </c>
      <c r="I26" s="42" t="s">
        <v>24</v>
      </c>
      <c r="J26" s="49" t="str">
        <f t="shared" si="2"/>
        <v>5 jam</v>
      </c>
      <c r="K26" s="52" t="s">
        <v>74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2.25" customHeight="1">
      <c r="A27" s="1"/>
      <c r="B27" s="6"/>
      <c r="C27" s="53">
        <f t="shared" si="1"/>
        <v>15</v>
      </c>
      <c r="D27" s="33" t="s">
        <v>23</v>
      </c>
      <c r="E27" s="37">
        <v>1.8572610004E10</v>
      </c>
      <c r="F27" s="40">
        <v>46220.0</v>
      </c>
      <c r="G27" s="43">
        <v>0.6666666666666666</v>
      </c>
      <c r="H27" s="43">
        <v>0.7083333333333334</v>
      </c>
      <c r="I27" s="44" t="s">
        <v>24</v>
      </c>
      <c r="J27" s="38" t="str">
        <f t="shared" si="2"/>
        <v>1 jam</v>
      </c>
      <c r="K27" s="48" t="s">
        <v>79</v>
      </c>
      <c r="L27" s="50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2.25" customHeight="1">
      <c r="A28" s="1"/>
      <c r="B28" s="6"/>
      <c r="C28" s="53">
        <f t="shared" si="1"/>
        <v>16</v>
      </c>
      <c r="D28" s="33" t="s">
        <v>21</v>
      </c>
      <c r="E28" s="37">
        <v>1.8572610003E10</v>
      </c>
      <c r="F28" s="40">
        <v>46220.0</v>
      </c>
      <c r="G28" s="43">
        <v>0.6666666666666666</v>
      </c>
      <c r="H28" s="43">
        <v>0.75</v>
      </c>
      <c r="I28" s="44" t="s">
        <v>24</v>
      </c>
      <c r="J28" s="38" t="str">
        <f t="shared" si="2"/>
        <v>2 jam</v>
      </c>
      <c r="K28" s="48" t="s">
        <v>82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2.25" customHeight="1">
      <c r="A29" s="1"/>
      <c r="B29" s="6"/>
      <c r="C29" s="30">
        <v>17.0</v>
      </c>
      <c r="D29" s="33" t="s">
        <v>22</v>
      </c>
      <c r="E29" s="37">
        <v>1.8572610005E10</v>
      </c>
      <c r="F29" s="40">
        <v>46220.0</v>
      </c>
      <c r="G29" s="39">
        <v>0.625</v>
      </c>
      <c r="H29" s="39">
        <v>0.75</v>
      </c>
      <c r="I29" s="42" t="s">
        <v>24</v>
      </c>
      <c r="J29" s="49" t="str">
        <f t="shared" si="2"/>
        <v>3 jam</v>
      </c>
      <c r="K29" s="52" t="s">
        <v>85</v>
      </c>
      <c r="L29" s="50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2.25" customHeight="1">
      <c r="A30" s="1"/>
      <c r="B30" s="6"/>
      <c r="C30" s="53">
        <f t="shared" ref="C30:C32" si="3">C29+1</f>
        <v>18</v>
      </c>
      <c r="D30" s="33" t="s">
        <v>21</v>
      </c>
      <c r="E30" s="37">
        <v>1.8572610003E10</v>
      </c>
      <c r="F30" s="40">
        <v>46221.0</v>
      </c>
      <c r="G30" s="43">
        <v>0.5</v>
      </c>
      <c r="H30" s="43">
        <v>0.5416666666666666</v>
      </c>
      <c r="I30" s="44" t="s">
        <v>24</v>
      </c>
      <c r="J30" s="49" t="str">
        <f t="shared" ref="J30:J31" si="4">ROUND((H30-G30)*24, 0) &amp; " jam"</f>
        <v>1 jam</v>
      </c>
      <c r="K30" s="48" t="s">
        <v>88</v>
      </c>
      <c r="L30" s="50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2.25" customHeight="1">
      <c r="A31" s="1"/>
      <c r="B31" s="6"/>
      <c r="C31" s="53">
        <f t="shared" si="3"/>
        <v>19</v>
      </c>
      <c r="D31" s="33" t="s">
        <v>21</v>
      </c>
      <c r="E31" s="37">
        <v>1.8572610003E10</v>
      </c>
      <c r="F31" s="40">
        <v>46221.0</v>
      </c>
      <c r="G31" s="43">
        <v>0.5833333333333334</v>
      </c>
      <c r="H31" s="43">
        <v>0.7083333333333334</v>
      </c>
      <c r="I31" s="44" t="s">
        <v>24</v>
      </c>
      <c r="J31" s="49" t="str">
        <f t="shared" si="4"/>
        <v>3 jam</v>
      </c>
      <c r="K31" s="48" t="s">
        <v>91</v>
      </c>
      <c r="L31" s="50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2.25" customHeight="1">
      <c r="A32" s="1"/>
      <c r="B32" s="6"/>
      <c r="C32" s="53">
        <f t="shared" si="3"/>
        <v>20</v>
      </c>
      <c r="D32" s="33" t="s">
        <v>23</v>
      </c>
      <c r="E32" s="37">
        <v>1.8572610004E10</v>
      </c>
      <c r="F32" s="40">
        <v>46219.0</v>
      </c>
      <c r="G32" s="43">
        <v>0.6666666666666666</v>
      </c>
      <c r="H32" s="43">
        <v>0.75</v>
      </c>
      <c r="I32" s="44" t="s">
        <v>24</v>
      </c>
      <c r="J32" s="38" t="str">
        <f>INT((H32-G32)*24) &amp; " jam"</f>
        <v>2 jam</v>
      </c>
      <c r="K32" s="48" t="s">
        <v>35</v>
      </c>
      <c r="L32" s="5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76"/>
      <c r="D33" s="76"/>
      <c r="E33" s="61"/>
      <c r="F33" s="61"/>
      <c r="G33" s="61"/>
      <c r="H33" s="61"/>
      <c r="I33" s="61"/>
      <c r="J33" s="61"/>
      <c r="K33" s="76"/>
      <c r="L33" s="6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76" t="s">
        <v>63</v>
      </c>
      <c r="E34" s="61"/>
      <c r="F34" s="61"/>
      <c r="H34" s="61"/>
      <c r="J34" s="61"/>
      <c r="K34" s="76" t="s">
        <v>64</v>
      </c>
      <c r="L34" s="6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71" t="s">
        <v>73</v>
      </c>
      <c r="E40" s="1"/>
      <c r="F40" s="1"/>
      <c r="G40" s="1"/>
      <c r="H40" s="1"/>
      <c r="I40" s="1"/>
      <c r="J40" s="1"/>
      <c r="K40" s="7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72" t="s">
        <v>77</v>
      </c>
      <c r="E41" s="1"/>
      <c r="F41" s="1"/>
      <c r="H41" s="68"/>
      <c r="J41" s="1"/>
      <c r="K41" s="71" t="s">
        <v>78</v>
      </c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7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1:G41"/>
    <mergeCell ref="H41:I41"/>
    <mergeCell ref="D11:D12"/>
    <mergeCell ref="E11:E12"/>
    <mergeCell ref="C34:D34"/>
    <mergeCell ref="F34:G34"/>
    <mergeCell ref="H34:I34"/>
    <mergeCell ref="C40:D40"/>
    <mergeCell ref="C41:D41"/>
  </mergeCells>
  <dataValidations>
    <dataValidation type="list" allowBlank="1" showErrorMessage="1" sqref="D13:D32">
      <formula1>"INDA MUTMAINNA,ANUGRAH NUR AULIANI,FIRJIANTO GERALD MANDORO,ZA'IM FATHURRAHMAN ILHAM"</formula1>
    </dataValidation>
    <dataValidation type="list" allowBlank="1" showErrorMessage="1" sqref="E13:E32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2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31">
        <v>1.0</v>
      </c>
      <c r="D13" s="34" t="s">
        <v>22</v>
      </c>
      <c r="E13" s="31">
        <v>1.8572610005E10</v>
      </c>
      <c r="F13" s="36">
        <v>46223.0</v>
      </c>
      <c r="G13" s="39">
        <v>0.6666666666666666</v>
      </c>
      <c r="H13" s="39">
        <v>0.9583333333333334</v>
      </c>
      <c r="I13" s="42" t="s">
        <v>24</v>
      </c>
      <c r="J13" s="49" t="str">
        <f t="shared" ref="J13:J27" si="1">INT((H13-G13)*24) &amp; " jam"</f>
        <v>7 jam</v>
      </c>
      <c r="K13" s="48" t="s">
        <v>28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2.25" customHeight="1">
      <c r="A14" s="1"/>
      <c r="B14" s="6"/>
      <c r="C14" s="53">
        <f t="shared" ref="C14:C33" si="2">C13+1</f>
        <v>2</v>
      </c>
      <c r="D14" s="33" t="s">
        <v>23</v>
      </c>
      <c r="E14" s="37">
        <v>1.8572610004E10</v>
      </c>
      <c r="F14" s="40">
        <v>46223.0</v>
      </c>
      <c r="G14" s="43">
        <v>0.6666666666666666</v>
      </c>
      <c r="H14" s="43">
        <v>0.75</v>
      </c>
      <c r="I14" s="44" t="s">
        <v>24</v>
      </c>
      <c r="J14" s="38" t="str">
        <f t="shared" si="1"/>
        <v>2 jam</v>
      </c>
      <c r="K14" s="48" t="s">
        <v>35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2.25" customHeight="1">
      <c r="A15" s="1"/>
      <c r="B15" s="6"/>
      <c r="C15" s="53">
        <f t="shared" si="2"/>
        <v>3</v>
      </c>
      <c r="D15" s="33" t="s">
        <v>21</v>
      </c>
      <c r="E15" s="37">
        <v>1.8572610003E10</v>
      </c>
      <c r="F15" s="40">
        <v>46223.0</v>
      </c>
      <c r="G15" s="43">
        <v>0.6666666666666666</v>
      </c>
      <c r="H15" s="43">
        <v>0.75</v>
      </c>
      <c r="I15" s="44" t="s">
        <v>24</v>
      </c>
      <c r="J15" s="38" t="str">
        <f t="shared" si="1"/>
        <v>2 jam</v>
      </c>
      <c r="K15" s="48" t="s">
        <v>41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2.25" customHeight="1">
      <c r="A16" s="1"/>
      <c r="B16" s="6"/>
      <c r="C16" s="53">
        <f t="shared" si="2"/>
        <v>4</v>
      </c>
      <c r="D16" s="34" t="s">
        <v>22</v>
      </c>
      <c r="E16" s="31">
        <v>1.8572610005E10</v>
      </c>
      <c r="F16" s="36">
        <v>46224.0</v>
      </c>
      <c r="G16" s="39">
        <v>0.6666666666666666</v>
      </c>
      <c r="H16" s="39">
        <v>0.75</v>
      </c>
      <c r="I16" s="42" t="s">
        <v>24</v>
      </c>
      <c r="J16" s="49" t="str">
        <f t="shared" si="1"/>
        <v>2 jam</v>
      </c>
      <c r="K16" s="48" t="s">
        <v>45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2.25" customHeight="1">
      <c r="A17" s="1"/>
      <c r="B17" s="6"/>
      <c r="C17" s="53">
        <f t="shared" si="2"/>
        <v>5</v>
      </c>
      <c r="D17" s="34" t="s">
        <v>21</v>
      </c>
      <c r="E17" s="31">
        <v>1.8572610003E10</v>
      </c>
      <c r="F17" s="36">
        <v>46224.0</v>
      </c>
      <c r="G17" s="39">
        <v>0.6666666666666666</v>
      </c>
      <c r="H17" s="39">
        <v>0.75</v>
      </c>
      <c r="I17" s="42" t="s">
        <v>24</v>
      </c>
      <c r="J17" s="49" t="str">
        <f t="shared" si="1"/>
        <v>2 jam</v>
      </c>
      <c r="K17" s="48" t="s">
        <v>47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2.25" customHeight="1">
      <c r="A18" s="1"/>
      <c r="B18" s="6"/>
      <c r="C18" s="53">
        <f t="shared" si="2"/>
        <v>6</v>
      </c>
      <c r="D18" s="33" t="s">
        <v>23</v>
      </c>
      <c r="E18" s="37">
        <v>1.8572610004E10</v>
      </c>
      <c r="F18" s="36">
        <v>46224.0</v>
      </c>
      <c r="G18" s="43">
        <v>0.6666666666666666</v>
      </c>
      <c r="H18" s="43">
        <v>0.75</v>
      </c>
      <c r="I18" s="44" t="s">
        <v>24</v>
      </c>
      <c r="J18" s="38" t="str">
        <f t="shared" si="1"/>
        <v>2 jam</v>
      </c>
      <c r="K18" s="48" t="s">
        <v>35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2.25" customHeight="1">
      <c r="A19" s="1"/>
      <c r="B19" s="6"/>
      <c r="C19" s="53">
        <f t="shared" si="2"/>
        <v>7</v>
      </c>
      <c r="D19" s="34" t="s">
        <v>21</v>
      </c>
      <c r="E19" s="31">
        <v>1.8572610003E10</v>
      </c>
      <c r="F19" s="36">
        <v>46225.0</v>
      </c>
      <c r="G19" s="39">
        <v>0.6666666666666666</v>
      </c>
      <c r="H19" s="39">
        <v>0.75</v>
      </c>
      <c r="I19" s="42" t="s">
        <v>24</v>
      </c>
      <c r="J19" s="49" t="str">
        <f t="shared" si="1"/>
        <v>2 jam</v>
      </c>
      <c r="K19" s="48" t="s">
        <v>52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1"/>
      <c r="B20" s="62"/>
      <c r="C20" s="63">
        <f t="shared" si="2"/>
        <v>8</v>
      </c>
      <c r="D20" s="45" t="s">
        <v>20</v>
      </c>
      <c r="E20" s="30">
        <v>1.8572610006E10</v>
      </c>
      <c r="F20" s="35">
        <v>46225.0</v>
      </c>
      <c r="G20" s="38">
        <v>0.6666666666666666</v>
      </c>
      <c r="H20" s="38">
        <v>0.75</v>
      </c>
      <c r="I20" s="56" t="s">
        <v>24</v>
      </c>
      <c r="J20" s="38" t="str">
        <f t="shared" si="1"/>
        <v>2 jam</v>
      </c>
      <c r="K20" s="48" t="s">
        <v>58</v>
      </c>
      <c r="L20" s="65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2"/>
      <c r="C21" s="53">
        <f t="shared" si="2"/>
        <v>9</v>
      </c>
      <c r="D21" s="34" t="s">
        <v>22</v>
      </c>
      <c r="E21" s="31">
        <v>1.8572610005E10</v>
      </c>
      <c r="F21" s="36">
        <v>46225.0</v>
      </c>
      <c r="G21" s="39">
        <v>0.6666666666666666</v>
      </c>
      <c r="H21" s="39">
        <v>0.7916666666666666</v>
      </c>
      <c r="I21" s="42" t="s">
        <v>24</v>
      </c>
      <c r="J21" s="49" t="str">
        <f t="shared" si="1"/>
        <v>3 jam</v>
      </c>
      <c r="K21" s="48" t="s">
        <v>62</v>
      </c>
      <c r="L21" s="65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1"/>
      <c r="B22" s="62"/>
      <c r="C22" s="53">
        <f t="shared" si="2"/>
        <v>10</v>
      </c>
      <c r="D22" s="34" t="s">
        <v>21</v>
      </c>
      <c r="E22" s="31">
        <v>1.8572610003E10</v>
      </c>
      <c r="F22" s="36">
        <v>46226.0</v>
      </c>
      <c r="G22" s="39">
        <v>0.6666666666666666</v>
      </c>
      <c r="H22" s="39">
        <v>0.7083333333333334</v>
      </c>
      <c r="I22" s="42" t="s">
        <v>24</v>
      </c>
      <c r="J22" s="49" t="str">
        <f t="shared" si="1"/>
        <v>1 jam</v>
      </c>
      <c r="K22" s="48" t="s">
        <v>65</v>
      </c>
      <c r="L22" s="65"/>
      <c r="M22" s="66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2"/>
      <c r="C23" s="53">
        <f t="shared" si="2"/>
        <v>11</v>
      </c>
      <c r="D23" s="34" t="s">
        <v>20</v>
      </c>
      <c r="E23" s="31">
        <v>1.8572610006E10</v>
      </c>
      <c r="F23" s="36">
        <v>46226.0</v>
      </c>
      <c r="G23" s="39">
        <v>0.6666666666666666</v>
      </c>
      <c r="H23" s="39">
        <v>0.7083333333333334</v>
      </c>
      <c r="I23" s="42" t="s">
        <v>24</v>
      </c>
      <c r="J23" s="49" t="str">
        <f t="shared" si="1"/>
        <v>1 jam</v>
      </c>
      <c r="K23" s="48" t="s">
        <v>68</v>
      </c>
      <c r="L23" s="65"/>
      <c r="M23" s="66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2"/>
      <c r="C24" s="53">
        <f t="shared" si="2"/>
        <v>12</v>
      </c>
      <c r="D24" s="34" t="s">
        <v>22</v>
      </c>
      <c r="E24" s="31">
        <v>1.8572610005E10</v>
      </c>
      <c r="F24" s="36">
        <v>46226.0</v>
      </c>
      <c r="G24" s="39">
        <v>0.6666666666666666</v>
      </c>
      <c r="H24" s="39">
        <v>0.7083333333333334</v>
      </c>
      <c r="I24" s="42" t="s">
        <v>24</v>
      </c>
      <c r="J24" s="49" t="str">
        <f t="shared" si="1"/>
        <v>1 jam</v>
      </c>
      <c r="K24" s="48" t="s">
        <v>70</v>
      </c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1"/>
      <c r="B25" s="62"/>
      <c r="C25" s="53">
        <f t="shared" si="2"/>
        <v>13</v>
      </c>
      <c r="D25" s="34" t="s">
        <v>21</v>
      </c>
      <c r="E25" s="31">
        <v>1.8572610003E10</v>
      </c>
      <c r="F25" s="36">
        <v>46227.0</v>
      </c>
      <c r="G25" s="39">
        <v>0.6666666666666666</v>
      </c>
      <c r="H25" s="39">
        <v>0.75</v>
      </c>
      <c r="I25" s="42" t="s">
        <v>24</v>
      </c>
      <c r="J25" s="49" t="str">
        <f t="shared" si="1"/>
        <v>2 jam</v>
      </c>
      <c r="K25" s="48" t="s">
        <v>72</v>
      </c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1"/>
      <c r="B26" s="62"/>
      <c r="C26" s="53">
        <f t="shared" si="2"/>
        <v>14</v>
      </c>
      <c r="D26" s="34" t="s">
        <v>23</v>
      </c>
      <c r="E26" s="31">
        <v>1.8572610004E10</v>
      </c>
      <c r="F26" s="36">
        <v>46227.0</v>
      </c>
      <c r="G26" s="39">
        <v>0.6666666666666666</v>
      </c>
      <c r="H26" s="39">
        <v>0.75</v>
      </c>
      <c r="I26" s="42" t="s">
        <v>24</v>
      </c>
      <c r="J26" s="49" t="str">
        <f t="shared" si="1"/>
        <v>2 jam</v>
      </c>
      <c r="K26" s="48" t="s">
        <v>76</v>
      </c>
      <c r="L26" s="65"/>
      <c r="M26" s="66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1"/>
      <c r="B27" s="62"/>
      <c r="C27" s="53">
        <f t="shared" si="2"/>
        <v>15</v>
      </c>
      <c r="D27" s="34" t="s">
        <v>22</v>
      </c>
      <c r="E27" s="31">
        <v>1.8572610005E10</v>
      </c>
      <c r="F27" s="36">
        <v>46227.0</v>
      </c>
      <c r="G27" s="39">
        <v>0.6666666666666666</v>
      </c>
      <c r="H27" s="39">
        <v>0.75</v>
      </c>
      <c r="I27" s="42" t="s">
        <v>24</v>
      </c>
      <c r="J27" s="49" t="str">
        <f t="shared" si="1"/>
        <v>2 jam</v>
      </c>
      <c r="K27" s="48" t="s">
        <v>81</v>
      </c>
      <c r="L27" s="65"/>
      <c r="M27" s="6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1"/>
      <c r="B28" s="62"/>
      <c r="C28" s="63">
        <f t="shared" si="2"/>
        <v>16</v>
      </c>
      <c r="D28" s="45" t="s">
        <v>20</v>
      </c>
      <c r="E28" s="30">
        <v>1.8572610006E10</v>
      </c>
      <c r="F28" s="47">
        <v>46228.0</v>
      </c>
      <c r="G28" s="59">
        <v>0.5833333333333334</v>
      </c>
      <c r="H28" s="59">
        <v>0.625</v>
      </c>
      <c r="I28" s="56" t="s">
        <v>24</v>
      </c>
      <c r="J28" s="46" t="s">
        <v>25</v>
      </c>
      <c r="K28" s="48" t="s">
        <v>84</v>
      </c>
      <c r="L28" s="65"/>
      <c r="M28" s="66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1"/>
      <c r="B29" s="62"/>
      <c r="C29" s="53">
        <f t="shared" si="2"/>
        <v>17</v>
      </c>
      <c r="D29" s="34" t="s">
        <v>21</v>
      </c>
      <c r="E29" s="31">
        <v>1.8572610003E10</v>
      </c>
      <c r="F29" s="36">
        <v>46228.0</v>
      </c>
      <c r="G29" s="59">
        <v>0.5833333333333334</v>
      </c>
      <c r="H29" s="39">
        <v>0.6666666666666666</v>
      </c>
      <c r="I29" s="42" t="s">
        <v>24</v>
      </c>
      <c r="J29" s="49" t="str">
        <f t="shared" ref="J29:J33" si="3">INT((H29-G29)*24) &amp; " jam"</f>
        <v>2 jam</v>
      </c>
      <c r="K29" s="48" t="s">
        <v>90</v>
      </c>
      <c r="L29" s="65"/>
      <c r="M29" s="66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2"/>
      <c r="C30" s="53">
        <f t="shared" si="2"/>
        <v>18</v>
      </c>
      <c r="D30" s="34" t="s">
        <v>23</v>
      </c>
      <c r="E30" s="31">
        <v>1.8572610004E10</v>
      </c>
      <c r="F30" s="36">
        <v>46228.0</v>
      </c>
      <c r="G30" s="59">
        <v>0.5833333333333334</v>
      </c>
      <c r="H30" s="39">
        <v>0.6666666666666666</v>
      </c>
      <c r="I30" s="42" t="s">
        <v>24</v>
      </c>
      <c r="J30" s="49" t="str">
        <f t="shared" si="3"/>
        <v>2 jam</v>
      </c>
      <c r="K30" s="48" t="s">
        <v>93</v>
      </c>
      <c r="L30" s="65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2"/>
      <c r="C31" s="53">
        <f t="shared" si="2"/>
        <v>19</v>
      </c>
      <c r="D31" s="34" t="s">
        <v>22</v>
      </c>
      <c r="E31" s="31">
        <v>1.8572610005E10</v>
      </c>
      <c r="F31" s="36">
        <v>46228.0</v>
      </c>
      <c r="G31" s="39">
        <v>0.5833333333333334</v>
      </c>
      <c r="H31" s="39">
        <v>0.7083333333333334</v>
      </c>
      <c r="I31" s="42" t="s">
        <v>24</v>
      </c>
      <c r="J31" s="49" t="str">
        <f t="shared" si="3"/>
        <v>3 jam</v>
      </c>
      <c r="K31" s="48" t="s">
        <v>95</v>
      </c>
      <c r="L31" s="65"/>
      <c r="M31" s="66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1"/>
      <c r="B32" s="62"/>
      <c r="C32" s="53">
        <f t="shared" si="2"/>
        <v>20</v>
      </c>
      <c r="D32" s="34" t="s">
        <v>23</v>
      </c>
      <c r="E32" s="31">
        <v>1.8572610004E10</v>
      </c>
      <c r="F32" s="36">
        <v>46229.0</v>
      </c>
      <c r="G32" s="59">
        <v>0.5833333333333334</v>
      </c>
      <c r="H32" s="39">
        <v>0.6666666666666666</v>
      </c>
      <c r="I32" s="42" t="s">
        <v>24</v>
      </c>
      <c r="J32" s="49" t="str">
        <f t="shared" si="3"/>
        <v>2 jam</v>
      </c>
      <c r="K32" s="48" t="s">
        <v>97</v>
      </c>
      <c r="L32" s="65"/>
      <c r="M32" s="66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1"/>
      <c r="B33" s="62"/>
      <c r="C33" s="53">
        <f t="shared" si="2"/>
        <v>21</v>
      </c>
      <c r="D33" s="34" t="s">
        <v>21</v>
      </c>
      <c r="E33" s="31">
        <v>1.8572610003E10</v>
      </c>
      <c r="F33" s="36">
        <v>46229.0</v>
      </c>
      <c r="G33" s="59">
        <v>0.625</v>
      </c>
      <c r="H33" s="39">
        <v>0.7916666666666666</v>
      </c>
      <c r="I33" s="42" t="s">
        <v>24</v>
      </c>
      <c r="J33" s="49" t="str">
        <f t="shared" si="3"/>
        <v>4 jam</v>
      </c>
      <c r="K33" s="48" t="s">
        <v>52</v>
      </c>
      <c r="L33" s="65"/>
      <c r="M33" s="66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1"/>
      <c r="B34" s="6"/>
      <c r="C34" s="76" t="s">
        <v>63</v>
      </c>
      <c r="E34" s="61"/>
      <c r="F34" s="61"/>
      <c r="H34" s="61"/>
      <c r="J34" s="61"/>
      <c r="K34" s="76" t="s">
        <v>64</v>
      </c>
      <c r="L34" s="6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"/>
      <c r="C42" s="71" t="s">
        <v>73</v>
      </c>
      <c r="E42" s="1"/>
      <c r="F42" s="1"/>
      <c r="G42" s="1"/>
      <c r="H42" s="1"/>
      <c r="I42" s="1"/>
      <c r="J42" s="1"/>
      <c r="K42" s="71"/>
      <c r="L42" s="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6"/>
      <c r="C43" s="72" t="s">
        <v>77</v>
      </c>
      <c r="E43" s="1"/>
      <c r="F43" s="1"/>
      <c r="H43" s="68"/>
      <c r="J43" s="1"/>
      <c r="K43" s="71" t="s">
        <v>78</v>
      </c>
      <c r="L43" s="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7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3:G43"/>
    <mergeCell ref="H43:I43"/>
    <mergeCell ref="D11:D12"/>
    <mergeCell ref="E11:E12"/>
    <mergeCell ref="C34:D34"/>
    <mergeCell ref="F34:G34"/>
    <mergeCell ref="H34:I34"/>
    <mergeCell ref="C42:D42"/>
    <mergeCell ref="C43:D43"/>
  </mergeCells>
  <dataValidations>
    <dataValidation type="list" allowBlank="1" showErrorMessage="1" sqref="D13:D33">
      <formula1>"INDA MUTMAINNA,ANUGRAH NUR AULIANI,FIRJIANTO GERALD MANDORO,ZA'IM FATHURRAHMAN ILHAM"</formula1>
    </dataValidation>
    <dataValidation type="list" allowBlank="1" showErrorMessage="1" sqref="E13:E33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78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100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31">
        <v>1.0</v>
      </c>
      <c r="D13" s="34" t="s">
        <v>22</v>
      </c>
      <c r="E13" s="31">
        <v>1.8572610005E10</v>
      </c>
      <c r="F13" s="36">
        <v>46230.0</v>
      </c>
      <c r="G13" s="43">
        <v>0.6666666666666666</v>
      </c>
      <c r="H13" s="43">
        <v>0.7083333333333334</v>
      </c>
      <c r="I13" s="42"/>
      <c r="J13" s="49" t="str">
        <f t="shared" ref="J13:J22" si="1">INT((H13-G13)*24) &amp; " jam"</f>
        <v>1 jam</v>
      </c>
      <c r="K13" s="48" t="s">
        <v>101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2.25" customHeight="1">
      <c r="A14" s="1"/>
      <c r="B14" s="6"/>
      <c r="C14" s="53">
        <f t="shared" ref="C14:C15" si="2">C13+1</f>
        <v>2</v>
      </c>
      <c r="D14" s="33" t="s">
        <v>23</v>
      </c>
      <c r="E14" s="37">
        <v>1.8572610004E10</v>
      </c>
      <c r="F14" s="36">
        <v>46230.0</v>
      </c>
      <c r="G14" s="43">
        <v>0.6666666666666666</v>
      </c>
      <c r="H14" s="43">
        <v>0.7083333333333334</v>
      </c>
      <c r="I14" s="44"/>
      <c r="J14" s="38" t="str">
        <f t="shared" si="1"/>
        <v>1 jam</v>
      </c>
      <c r="K14" s="48" t="s">
        <v>102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2.25" customHeight="1">
      <c r="A15" s="1"/>
      <c r="B15" s="6"/>
      <c r="C15" s="53">
        <f t="shared" si="2"/>
        <v>3</v>
      </c>
      <c r="D15" s="33" t="s">
        <v>21</v>
      </c>
      <c r="E15" s="37">
        <v>1.8572610003E10</v>
      </c>
      <c r="F15" s="36">
        <v>46230.0</v>
      </c>
      <c r="G15" s="43">
        <v>0.6666666666666666</v>
      </c>
      <c r="H15" s="43">
        <v>0.7083333333333334</v>
      </c>
      <c r="I15" s="44"/>
      <c r="J15" s="38" t="str">
        <f t="shared" si="1"/>
        <v>1 jam</v>
      </c>
      <c r="K15" s="48" t="s">
        <v>47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2.25" customHeight="1">
      <c r="A16" s="1"/>
      <c r="B16" s="6"/>
      <c r="C16" s="30">
        <v>4.0</v>
      </c>
      <c r="D16" s="34" t="s">
        <v>22</v>
      </c>
      <c r="E16" s="31">
        <v>1.8572610005E10</v>
      </c>
      <c r="F16" s="36">
        <v>46231.0</v>
      </c>
      <c r="G16" s="43">
        <v>0.6666666666666666</v>
      </c>
      <c r="H16" s="43">
        <v>0.7083333333333334</v>
      </c>
      <c r="I16" s="42"/>
      <c r="J16" s="49" t="str">
        <f t="shared" si="1"/>
        <v>1 jam</v>
      </c>
      <c r="K16" s="48" t="s">
        <v>103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2.25" customHeight="1">
      <c r="A17" s="1"/>
      <c r="B17" s="6"/>
      <c r="C17" s="53">
        <f t="shared" ref="C17:C30" si="3">C16+1</f>
        <v>5</v>
      </c>
      <c r="D17" s="33" t="s">
        <v>23</v>
      </c>
      <c r="E17" s="37">
        <v>1.8572610004E10</v>
      </c>
      <c r="F17" s="36">
        <v>46231.0</v>
      </c>
      <c r="G17" s="43">
        <v>0.6666666666666666</v>
      </c>
      <c r="H17" s="43">
        <v>0.75</v>
      </c>
      <c r="I17" s="44"/>
      <c r="J17" s="38" t="str">
        <f t="shared" si="1"/>
        <v>2 jam</v>
      </c>
      <c r="K17" s="48" t="s">
        <v>104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2.25" customHeight="1">
      <c r="A18" s="1"/>
      <c r="B18" s="6"/>
      <c r="C18" s="53">
        <f t="shared" si="3"/>
        <v>6</v>
      </c>
      <c r="D18" s="33" t="s">
        <v>21</v>
      </c>
      <c r="E18" s="37">
        <v>1.8572610003E10</v>
      </c>
      <c r="F18" s="36">
        <v>46232.0</v>
      </c>
      <c r="G18" s="43">
        <v>0.6666666666666666</v>
      </c>
      <c r="H18" s="43">
        <v>0.8333333333333334</v>
      </c>
      <c r="I18" s="44"/>
      <c r="J18" s="38" t="str">
        <f t="shared" si="1"/>
        <v>4 jam</v>
      </c>
      <c r="K18" s="48" t="s">
        <v>105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2.25" customHeight="1">
      <c r="A19" s="1"/>
      <c r="B19" s="6"/>
      <c r="C19" s="53">
        <f t="shared" si="3"/>
        <v>7</v>
      </c>
      <c r="D19" s="33" t="s">
        <v>23</v>
      </c>
      <c r="E19" s="37">
        <v>1.8572610004E10</v>
      </c>
      <c r="F19" s="36">
        <v>46232.0</v>
      </c>
      <c r="G19" s="43">
        <v>0.6666666666666666</v>
      </c>
      <c r="H19" s="43">
        <v>0.8333333333333334</v>
      </c>
      <c r="I19" s="44"/>
      <c r="J19" s="38" t="str">
        <f t="shared" si="1"/>
        <v>4 jam</v>
      </c>
      <c r="K19" s="48" t="s">
        <v>106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2.25" customHeight="1">
      <c r="A20" s="1"/>
      <c r="B20" s="6"/>
      <c r="C20" s="53">
        <f t="shared" si="3"/>
        <v>8</v>
      </c>
      <c r="D20" s="34" t="s">
        <v>22</v>
      </c>
      <c r="E20" s="31">
        <v>1.8572610005E10</v>
      </c>
      <c r="F20" s="36">
        <v>46232.0</v>
      </c>
      <c r="G20" s="43">
        <v>0.6666666666666666</v>
      </c>
      <c r="H20" s="43">
        <v>0.7083333333333334</v>
      </c>
      <c r="I20" s="42"/>
      <c r="J20" s="49" t="str">
        <f t="shared" si="1"/>
        <v>1 jam</v>
      </c>
      <c r="K20" s="52" t="s">
        <v>107</v>
      </c>
      <c r="L20" s="50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2.25" customHeight="1">
      <c r="A21" s="61"/>
      <c r="B21" s="62"/>
      <c r="C21" s="63">
        <f t="shared" si="3"/>
        <v>9</v>
      </c>
      <c r="D21" s="45" t="s">
        <v>20</v>
      </c>
      <c r="E21" s="30">
        <v>1.8572610006E10</v>
      </c>
      <c r="F21" s="35">
        <v>46232.0</v>
      </c>
      <c r="G21" s="55">
        <v>0.6666666666666666</v>
      </c>
      <c r="H21" s="55">
        <v>0.7083333333333334</v>
      </c>
      <c r="I21" s="79"/>
      <c r="J21" s="38" t="str">
        <f t="shared" si="1"/>
        <v>1 jam</v>
      </c>
      <c r="K21" s="60" t="s">
        <v>108</v>
      </c>
      <c r="L21" s="65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ht="32.25" customHeight="1">
      <c r="A22" s="1"/>
      <c r="B22" s="6"/>
      <c r="C22" s="53">
        <f t="shared" si="3"/>
        <v>10</v>
      </c>
      <c r="D22" s="33" t="s">
        <v>21</v>
      </c>
      <c r="E22" s="37">
        <v>1.8572610003E10</v>
      </c>
      <c r="F22" s="36">
        <v>46233.0</v>
      </c>
      <c r="G22" s="43">
        <v>0.6666666666666666</v>
      </c>
      <c r="H22" s="43">
        <v>0.75</v>
      </c>
      <c r="I22" s="44"/>
      <c r="J22" s="38" t="str">
        <f t="shared" si="1"/>
        <v>2 jam</v>
      </c>
      <c r="K22" s="48" t="s">
        <v>109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2.25" customHeight="1">
      <c r="A23" s="1"/>
      <c r="B23" s="6"/>
      <c r="C23" s="53">
        <f t="shared" si="3"/>
        <v>11</v>
      </c>
      <c r="D23" s="33" t="s">
        <v>23</v>
      </c>
      <c r="E23" s="37">
        <v>1.8572610004E10</v>
      </c>
      <c r="F23" s="36">
        <v>46233.0</v>
      </c>
      <c r="G23" s="43">
        <v>0.6666666666666666</v>
      </c>
      <c r="H23" s="43">
        <v>0.7916666666666666</v>
      </c>
      <c r="I23" s="80">
        <v>1.0</v>
      </c>
      <c r="J23" s="46" t="s">
        <v>110</v>
      </c>
      <c r="K23" s="48" t="s">
        <v>111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54.0" customHeight="1">
      <c r="A24" s="2"/>
      <c r="B24" s="81"/>
      <c r="C24" s="69">
        <f t="shared" si="3"/>
        <v>12</v>
      </c>
      <c r="D24" s="34" t="s">
        <v>22</v>
      </c>
      <c r="E24" s="31">
        <v>1.8572610005E10</v>
      </c>
      <c r="F24" s="36">
        <v>46233.0</v>
      </c>
      <c r="G24" s="39">
        <v>0.6666666666666666</v>
      </c>
      <c r="H24" s="39">
        <v>0.9583333333333334</v>
      </c>
      <c r="I24" s="42"/>
      <c r="J24" s="49" t="str">
        <f t="shared" ref="J24:J28" si="4">INT((H24-G24)*24) &amp; " jam"</f>
        <v>7 jam</v>
      </c>
      <c r="K24" s="52" t="s">
        <v>112</v>
      </c>
      <c r="L24" s="82"/>
      <c r="M24" s="8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33.0" customHeight="1">
      <c r="A25" s="2"/>
      <c r="B25" s="81"/>
      <c r="C25" s="69">
        <f t="shared" si="3"/>
        <v>13</v>
      </c>
      <c r="D25" s="34" t="s">
        <v>20</v>
      </c>
      <c r="E25" s="31">
        <v>1.8572610006E10</v>
      </c>
      <c r="F25" s="36">
        <v>46234.0</v>
      </c>
      <c r="G25" s="39">
        <v>0.6666666666666666</v>
      </c>
      <c r="H25" s="39">
        <v>0.7916666666666666</v>
      </c>
      <c r="I25" s="42"/>
      <c r="J25" s="49" t="str">
        <f t="shared" si="4"/>
        <v>3 jam</v>
      </c>
      <c r="K25" s="52" t="s">
        <v>113</v>
      </c>
      <c r="L25" s="82"/>
      <c r="M25" s="8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81"/>
      <c r="C26" s="69">
        <f t="shared" si="3"/>
        <v>14</v>
      </c>
      <c r="D26" s="34" t="s">
        <v>21</v>
      </c>
      <c r="E26" s="31">
        <v>1.8572610003E10</v>
      </c>
      <c r="F26" s="36">
        <v>46234.0</v>
      </c>
      <c r="G26" s="39">
        <v>0.6666666666666666</v>
      </c>
      <c r="H26" s="39">
        <v>1.0</v>
      </c>
      <c r="I26" s="84"/>
      <c r="J26" s="49" t="str">
        <f t="shared" si="4"/>
        <v>8 jam</v>
      </c>
      <c r="K26" s="52" t="s">
        <v>114</v>
      </c>
      <c r="L26" s="82"/>
      <c r="M26" s="8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32.25" customHeight="1">
      <c r="A27" s="1"/>
      <c r="B27" s="6"/>
      <c r="C27" s="53">
        <f t="shared" si="3"/>
        <v>15</v>
      </c>
      <c r="D27" s="33" t="s">
        <v>23</v>
      </c>
      <c r="E27" s="37">
        <v>1.8572610004E10</v>
      </c>
      <c r="F27" s="36">
        <v>46234.0</v>
      </c>
      <c r="G27" s="43">
        <v>0.6666666666666666</v>
      </c>
      <c r="H27" s="39">
        <v>1.0</v>
      </c>
      <c r="I27" s="80"/>
      <c r="J27" s="49" t="str">
        <f t="shared" si="4"/>
        <v>8 jam</v>
      </c>
      <c r="K27" s="52" t="s">
        <v>114</v>
      </c>
      <c r="L27" s="50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2.25" customHeight="1">
      <c r="A28" s="1"/>
      <c r="B28" s="6"/>
      <c r="C28" s="69">
        <f t="shared" si="3"/>
        <v>16</v>
      </c>
      <c r="D28" s="34" t="s">
        <v>22</v>
      </c>
      <c r="E28" s="31">
        <v>1.8572610005E10</v>
      </c>
      <c r="F28" s="36">
        <v>46234.0</v>
      </c>
      <c r="G28" s="39">
        <v>0.6666666666666666</v>
      </c>
      <c r="H28" s="39">
        <v>0.7916666666666666</v>
      </c>
      <c r="I28" s="42"/>
      <c r="J28" s="49" t="str">
        <f t="shared" si="4"/>
        <v>3 jam</v>
      </c>
      <c r="K28" s="52" t="s">
        <v>115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"/>
      <c r="B29" s="81"/>
      <c r="C29" s="69">
        <f t="shared" si="3"/>
        <v>17</v>
      </c>
      <c r="D29" s="34" t="s">
        <v>22</v>
      </c>
      <c r="E29" s="31">
        <v>1.8572610005E10</v>
      </c>
      <c r="F29" s="36">
        <v>46235.0</v>
      </c>
      <c r="G29" s="38">
        <v>0.5</v>
      </c>
      <c r="H29" s="38">
        <v>0.5416666666666666</v>
      </c>
      <c r="I29" s="56"/>
      <c r="J29" s="58" t="s">
        <v>33</v>
      </c>
      <c r="K29" s="51" t="s">
        <v>36</v>
      </c>
      <c r="L29" s="82"/>
      <c r="M29" s="8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81"/>
      <c r="C30" s="69">
        <f t="shared" si="3"/>
        <v>18</v>
      </c>
      <c r="D30" s="34" t="s">
        <v>21</v>
      </c>
      <c r="E30" s="31">
        <v>1.8572610003E10</v>
      </c>
      <c r="F30" s="36">
        <v>46235.0</v>
      </c>
      <c r="G30" s="39">
        <v>0.5833333333333334</v>
      </c>
      <c r="H30" s="39">
        <v>0.7083333333333334</v>
      </c>
      <c r="I30" s="84"/>
      <c r="J30" s="49" t="str">
        <f>INT((H30-G30)*24) &amp; " jam"</f>
        <v>3 jam</v>
      </c>
      <c r="K30" s="52" t="s">
        <v>116</v>
      </c>
      <c r="L30" s="82"/>
      <c r="M30" s="8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6"/>
      <c r="C31" s="76"/>
      <c r="D31" s="76"/>
      <c r="E31" s="61"/>
      <c r="F31" s="61"/>
      <c r="G31" s="61"/>
      <c r="H31" s="61"/>
      <c r="I31" s="61"/>
      <c r="J31" s="61"/>
      <c r="K31" s="76"/>
      <c r="L31" s="6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76"/>
      <c r="D32" s="76"/>
      <c r="E32" s="61"/>
      <c r="F32" s="61"/>
      <c r="G32" s="61"/>
      <c r="H32" s="61"/>
      <c r="I32" s="61"/>
      <c r="J32" s="61"/>
      <c r="K32" s="76"/>
      <c r="L32" s="6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76" t="s">
        <v>63</v>
      </c>
      <c r="E33" s="61"/>
      <c r="F33" s="61"/>
      <c r="H33" s="61"/>
      <c r="J33" s="61"/>
      <c r="K33" s="76" t="s">
        <v>64</v>
      </c>
      <c r="L33" s="6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71" t="s">
        <v>73</v>
      </c>
      <c r="E41" s="1"/>
      <c r="F41" s="1"/>
      <c r="G41" s="1"/>
      <c r="H41" s="1"/>
      <c r="I41" s="1"/>
      <c r="J41" s="1"/>
      <c r="K41" s="7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"/>
      <c r="C42" s="72" t="s">
        <v>77</v>
      </c>
      <c r="E42" s="1"/>
      <c r="F42" s="1"/>
      <c r="H42" s="68"/>
      <c r="J42" s="1"/>
      <c r="K42" s="71" t="s">
        <v>78</v>
      </c>
      <c r="L42" s="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7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2:G42"/>
    <mergeCell ref="H42:I42"/>
    <mergeCell ref="D11:D12"/>
    <mergeCell ref="E11:E12"/>
    <mergeCell ref="C33:D33"/>
    <mergeCell ref="F33:G33"/>
    <mergeCell ref="H33:I33"/>
    <mergeCell ref="C41:D41"/>
    <mergeCell ref="C42:D42"/>
  </mergeCells>
  <dataValidations>
    <dataValidation type="list" allowBlank="1" showErrorMessage="1" sqref="D13:D30">
      <formula1>"INDA MUTMAINNA,ANUGRAH NUR AULIANI,FIRJIANTO GERALD MANDORO,ZA'IM FATHURRAHMAN ILHAM"</formula1>
    </dataValidation>
    <dataValidation type="list" allowBlank="1" showErrorMessage="1" sqref="E13:E30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117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31">
        <v>1.0</v>
      </c>
      <c r="D13" s="34" t="s">
        <v>21</v>
      </c>
      <c r="E13" s="31">
        <v>1.8572610003E10</v>
      </c>
      <c r="F13" s="36">
        <v>46237.0</v>
      </c>
      <c r="G13" s="39">
        <v>0.6666666666666666</v>
      </c>
      <c r="H13" s="39">
        <v>0.7916666666666666</v>
      </c>
      <c r="I13" s="42"/>
      <c r="J13" s="49" t="str">
        <f t="shared" ref="J13:J28" si="1">INT((H13-G13)*24) &amp; " jam"</f>
        <v>3 jam</v>
      </c>
      <c r="K13" s="48" t="s">
        <v>118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6"/>
      <c r="C14" s="31">
        <v>2.0</v>
      </c>
      <c r="D14" s="34" t="s">
        <v>23</v>
      </c>
      <c r="E14" s="31">
        <v>1.8572610004E10</v>
      </c>
      <c r="F14" s="36">
        <v>46237.0</v>
      </c>
      <c r="G14" s="39">
        <v>0.6666666666666666</v>
      </c>
      <c r="H14" s="39">
        <v>0.7916666666666666</v>
      </c>
      <c r="I14" s="42"/>
      <c r="J14" s="49" t="str">
        <f t="shared" si="1"/>
        <v>3 jam</v>
      </c>
      <c r="K14" s="48" t="s">
        <v>44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53">
        <f t="shared" ref="C15:C31" si="2">C14+1</f>
        <v>3</v>
      </c>
      <c r="D15" s="34" t="s">
        <v>22</v>
      </c>
      <c r="E15" s="31">
        <v>1.8572610005E10</v>
      </c>
      <c r="F15" s="36">
        <v>46237.0</v>
      </c>
      <c r="G15" s="43">
        <v>0.6666666666666666</v>
      </c>
      <c r="H15" s="43">
        <v>0.7083333333333334</v>
      </c>
      <c r="I15" s="42"/>
      <c r="J15" s="49" t="str">
        <f t="shared" si="1"/>
        <v>1 jam</v>
      </c>
      <c r="K15" s="52" t="s">
        <v>119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/>
      <c r="C16" s="53">
        <f t="shared" si="2"/>
        <v>4</v>
      </c>
      <c r="D16" s="34" t="s">
        <v>20</v>
      </c>
      <c r="E16" s="31">
        <v>1.8572610006E10</v>
      </c>
      <c r="F16" s="36">
        <v>46237.0</v>
      </c>
      <c r="G16" s="43">
        <v>0.6666666666666666</v>
      </c>
      <c r="H16" s="43">
        <v>0.7083333333333334</v>
      </c>
      <c r="I16" s="42"/>
      <c r="J16" s="49" t="str">
        <f t="shared" si="1"/>
        <v>1 jam</v>
      </c>
      <c r="K16" s="52" t="s">
        <v>120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"/>
      <c r="C17" s="53">
        <f t="shared" si="2"/>
        <v>5</v>
      </c>
      <c r="D17" s="34" t="s">
        <v>21</v>
      </c>
      <c r="E17" s="31">
        <v>1.8572610003E10</v>
      </c>
      <c r="F17" s="36">
        <v>46238.0</v>
      </c>
      <c r="G17" s="43">
        <v>0.6666666666666666</v>
      </c>
      <c r="H17" s="43">
        <v>0.7916666666666666</v>
      </c>
      <c r="I17" s="42"/>
      <c r="J17" s="49" t="str">
        <f t="shared" si="1"/>
        <v>3 jam</v>
      </c>
      <c r="K17" s="52" t="s">
        <v>121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6"/>
      <c r="C18" s="53">
        <f t="shared" si="2"/>
        <v>6</v>
      </c>
      <c r="D18" s="34" t="s">
        <v>23</v>
      </c>
      <c r="E18" s="31">
        <v>1.8572610004E10</v>
      </c>
      <c r="F18" s="36">
        <v>46238.0</v>
      </c>
      <c r="G18" s="39">
        <v>0.6666666666666666</v>
      </c>
      <c r="H18" s="39">
        <v>0.7916666666666666</v>
      </c>
      <c r="I18" s="42"/>
      <c r="J18" s="49" t="str">
        <f t="shared" si="1"/>
        <v>3 jam</v>
      </c>
      <c r="K18" s="48" t="s">
        <v>44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61"/>
      <c r="B19" s="62"/>
      <c r="C19" s="63">
        <f t="shared" si="2"/>
        <v>7</v>
      </c>
      <c r="D19" s="45" t="s">
        <v>20</v>
      </c>
      <c r="E19" s="30">
        <v>1.8572610006E10</v>
      </c>
      <c r="F19" s="35">
        <v>46238.0</v>
      </c>
      <c r="G19" s="38">
        <v>0.6666666666666666</v>
      </c>
      <c r="H19" s="59">
        <v>0.75</v>
      </c>
      <c r="I19" s="79"/>
      <c r="J19" s="38" t="str">
        <f t="shared" si="1"/>
        <v>2 jam</v>
      </c>
      <c r="K19" s="48" t="s">
        <v>122</v>
      </c>
      <c r="L19" s="65"/>
      <c r="M19" s="66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1"/>
      <c r="B20" s="62"/>
      <c r="C20" s="53">
        <f t="shared" si="2"/>
        <v>8</v>
      </c>
      <c r="D20" s="34" t="s">
        <v>22</v>
      </c>
      <c r="E20" s="31">
        <v>1.8572610005E10</v>
      </c>
      <c r="F20" s="35">
        <v>46238.0</v>
      </c>
      <c r="G20" s="43">
        <v>0.6666666666666666</v>
      </c>
      <c r="H20" s="39">
        <v>0.7916666666666666</v>
      </c>
      <c r="I20" s="42"/>
      <c r="J20" s="49" t="str">
        <f t="shared" si="1"/>
        <v>3 jam</v>
      </c>
      <c r="K20" s="52" t="s">
        <v>123</v>
      </c>
      <c r="L20" s="50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2"/>
      <c r="C21" s="63">
        <f t="shared" si="2"/>
        <v>9</v>
      </c>
      <c r="D21" s="45" t="s">
        <v>20</v>
      </c>
      <c r="E21" s="30">
        <v>1.8572610006E10</v>
      </c>
      <c r="F21" s="40">
        <v>46239.0</v>
      </c>
      <c r="G21" s="55">
        <v>0.6666666666666666</v>
      </c>
      <c r="H21" s="43">
        <v>0.7083333333333334</v>
      </c>
      <c r="I21" s="79"/>
      <c r="J21" s="38" t="str">
        <f t="shared" si="1"/>
        <v>1 jam</v>
      </c>
      <c r="K21" s="60" t="s">
        <v>124</v>
      </c>
      <c r="L21" s="65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1"/>
      <c r="B22" s="6"/>
      <c r="C22" s="53">
        <f t="shared" si="2"/>
        <v>10</v>
      </c>
      <c r="D22" s="34" t="s">
        <v>23</v>
      </c>
      <c r="E22" s="31">
        <v>1.8572610004E10</v>
      </c>
      <c r="F22" s="40">
        <v>46239.0</v>
      </c>
      <c r="G22" s="39">
        <v>0.6666666666666666</v>
      </c>
      <c r="H22" s="39">
        <v>0.75</v>
      </c>
      <c r="I22" s="42"/>
      <c r="J22" s="49" t="str">
        <f t="shared" si="1"/>
        <v>2 jam</v>
      </c>
      <c r="K22" s="48" t="s">
        <v>44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6"/>
      <c r="C23" s="53">
        <f t="shared" si="2"/>
        <v>11</v>
      </c>
      <c r="D23" s="34" t="s">
        <v>21</v>
      </c>
      <c r="E23" s="31">
        <v>1.8572610003E10</v>
      </c>
      <c r="F23" s="36">
        <v>46239.0</v>
      </c>
      <c r="G23" s="43">
        <v>0.6666666666666666</v>
      </c>
      <c r="H23" s="43">
        <v>0.7916666666666666</v>
      </c>
      <c r="I23" s="42"/>
      <c r="J23" s="49" t="str">
        <f t="shared" si="1"/>
        <v>3 jam</v>
      </c>
      <c r="K23" s="52" t="s">
        <v>126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6"/>
      <c r="C24" s="53">
        <f t="shared" si="2"/>
        <v>12</v>
      </c>
      <c r="D24" s="34" t="s">
        <v>22</v>
      </c>
      <c r="E24" s="31">
        <v>1.8572610005E10</v>
      </c>
      <c r="F24" s="36">
        <v>46239.0</v>
      </c>
      <c r="G24" s="43">
        <v>0.6666666666666666</v>
      </c>
      <c r="H24" s="39">
        <v>0.7916666666666666</v>
      </c>
      <c r="I24" s="42"/>
      <c r="J24" s="49" t="str">
        <f t="shared" si="1"/>
        <v>3 jam</v>
      </c>
      <c r="K24" s="52" t="s">
        <v>127</v>
      </c>
      <c r="L24" s="50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61"/>
      <c r="B25" s="62"/>
      <c r="C25" s="63">
        <f t="shared" si="2"/>
        <v>13</v>
      </c>
      <c r="D25" s="32" t="s">
        <v>23</v>
      </c>
      <c r="E25" s="53">
        <v>1.8572610004E10</v>
      </c>
      <c r="F25" s="40">
        <v>46240.0</v>
      </c>
      <c r="G25" s="38">
        <v>0.6666666666666666</v>
      </c>
      <c r="H25" s="38">
        <v>0.75</v>
      </c>
      <c r="I25" s="79"/>
      <c r="J25" s="38" t="str">
        <f t="shared" si="1"/>
        <v>2 jam</v>
      </c>
      <c r="K25" s="48" t="s">
        <v>128</v>
      </c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1"/>
      <c r="B26" s="6"/>
      <c r="C26" s="69">
        <f t="shared" si="2"/>
        <v>14</v>
      </c>
      <c r="D26" s="34" t="s">
        <v>21</v>
      </c>
      <c r="E26" s="31">
        <v>1.8572610003E10</v>
      </c>
      <c r="F26" s="36">
        <v>46240.0</v>
      </c>
      <c r="G26" s="39">
        <v>0.6666666666666666</v>
      </c>
      <c r="H26" s="39">
        <v>0.875</v>
      </c>
      <c r="I26" s="42"/>
      <c r="J26" s="49" t="str">
        <f t="shared" si="1"/>
        <v>5 jam</v>
      </c>
      <c r="K26" s="52" t="s">
        <v>129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69">
        <f t="shared" si="2"/>
        <v>15</v>
      </c>
      <c r="D27" s="34" t="s">
        <v>21</v>
      </c>
      <c r="E27" s="31">
        <v>1.8572610003E10</v>
      </c>
      <c r="F27" s="36">
        <v>46241.0</v>
      </c>
      <c r="G27" s="39">
        <v>0.6666666666666666</v>
      </c>
      <c r="H27" s="39">
        <v>0.7083333333333334</v>
      </c>
      <c r="I27" s="42"/>
      <c r="J27" s="49" t="str">
        <f t="shared" si="1"/>
        <v>1 jam</v>
      </c>
      <c r="K27" s="52" t="s">
        <v>130</v>
      </c>
      <c r="L27" s="50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61"/>
      <c r="B28" s="62"/>
      <c r="C28" s="63">
        <f t="shared" si="2"/>
        <v>16</v>
      </c>
      <c r="D28" s="32" t="s">
        <v>23</v>
      </c>
      <c r="E28" s="53">
        <v>1.8572610004E10</v>
      </c>
      <c r="F28" s="36">
        <v>46241.0</v>
      </c>
      <c r="G28" s="38">
        <v>0.6666666666666666</v>
      </c>
      <c r="H28" s="39">
        <v>0.7083333333333334</v>
      </c>
      <c r="I28" s="79"/>
      <c r="J28" s="38" t="str">
        <f t="shared" si="1"/>
        <v>1 jam</v>
      </c>
      <c r="K28" s="48" t="s">
        <v>131</v>
      </c>
      <c r="L28" s="65"/>
      <c r="M28" s="66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1"/>
      <c r="B29" s="62"/>
      <c r="C29" s="53">
        <f t="shared" si="2"/>
        <v>17</v>
      </c>
      <c r="D29" s="34" t="s">
        <v>22</v>
      </c>
      <c r="E29" s="31">
        <v>1.8572610005E10</v>
      </c>
      <c r="F29" s="36">
        <v>46241.0</v>
      </c>
      <c r="G29" s="38">
        <v>0.5</v>
      </c>
      <c r="H29" s="38">
        <v>0.5416666666666666</v>
      </c>
      <c r="I29" s="42"/>
      <c r="J29" s="85" t="s">
        <v>33</v>
      </c>
      <c r="K29" s="52" t="s">
        <v>132</v>
      </c>
      <c r="L29" s="50"/>
      <c r="M29" s="66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2"/>
      <c r="C30" s="53">
        <f t="shared" si="2"/>
        <v>18</v>
      </c>
      <c r="D30" s="34" t="s">
        <v>22</v>
      </c>
      <c r="E30" s="31">
        <v>1.8572610005E10</v>
      </c>
      <c r="F30" s="36">
        <v>46241.0</v>
      </c>
      <c r="G30" s="43">
        <v>0.6666666666666666</v>
      </c>
      <c r="H30" s="39">
        <v>0.7083333333333334</v>
      </c>
      <c r="I30" s="42"/>
      <c r="J30" s="49" t="str">
        <f t="shared" ref="J30:J31" si="3">INT((H30-G30)*24) &amp; " jam"</f>
        <v>1 jam</v>
      </c>
      <c r="K30" s="52" t="s">
        <v>133</v>
      </c>
      <c r="L30" s="50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2"/>
      <c r="C31" s="63">
        <f t="shared" si="2"/>
        <v>19</v>
      </c>
      <c r="D31" s="32" t="s">
        <v>23</v>
      </c>
      <c r="E31" s="53">
        <v>1.8572610004E10</v>
      </c>
      <c r="F31" s="36">
        <v>46242.0</v>
      </c>
      <c r="G31" s="59">
        <v>0.5833333333333334</v>
      </c>
      <c r="H31" s="39">
        <v>0.6666666666666666</v>
      </c>
      <c r="I31" s="79"/>
      <c r="J31" s="38" t="str">
        <f t="shared" si="3"/>
        <v>2 jam</v>
      </c>
      <c r="K31" s="48" t="s">
        <v>44</v>
      </c>
      <c r="L31" s="65"/>
      <c r="M31" s="66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1"/>
      <c r="B32" s="6"/>
      <c r="C32" s="76"/>
      <c r="D32" s="76"/>
      <c r="E32" s="61"/>
      <c r="F32" s="61"/>
      <c r="G32" s="61"/>
      <c r="H32" s="61"/>
      <c r="I32" s="61"/>
      <c r="J32" s="61"/>
      <c r="K32" s="76"/>
      <c r="L32" s="6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76" t="s">
        <v>63</v>
      </c>
      <c r="E33" s="61"/>
      <c r="F33" s="61"/>
      <c r="H33" s="61"/>
      <c r="J33" s="61"/>
      <c r="K33" s="76" t="s">
        <v>64</v>
      </c>
      <c r="L33" s="6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71" t="s">
        <v>73</v>
      </c>
      <c r="E41" s="1"/>
      <c r="F41" s="1"/>
      <c r="G41" s="1"/>
      <c r="H41" s="1"/>
      <c r="I41" s="1"/>
      <c r="J41" s="1"/>
      <c r="K41" s="7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"/>
      <c r="C42" s="72" t="s">
        <v>77</v>
      </c>
      <c r="E42" s="1"/>
      <c r="F42" s="1"/>
      <c r="H42" s="68"/>
      <c r="J42" s="1"/>
      <c r="K42" s="71" t="s">
        <v>78</v>
      </c>
      <c r="L42" s="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7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2:G42"/>
    <mergeCell ref="H42:I42"/>
    <mergeCell ref="D11:D12"/>
    <mergeCell ref="E11:E12"/>
    <mergeCell ref="C33:D33"/>
    <mergeCell ref="F33:G33"/>
    <mergeCell ref="H33:I33"/>
    <mergeCell ref="C41:D41"/>
    <mergeCell ref="C42:D42"/>
  </mergeCells>
  <dataValidations>
    <dataValidation type="list" allowBlank="1" showErrorMessage="1" sqref="D13:D31">
      <formula1>"INDA MUTMAINNA,ANUGRAH NUR AULIANI,FIRJIANTO GERALD MANDORO,ZA'IM FATHURRAHMAN ILHAM"</formula1>
    </dataValidation>
    <dataValidation type="list" allowBlank="1" showErrorMessage="1" sqref="E13:E31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125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31">
        <v>1.0</v>
      </c>
      <c r="D13" s="34" t="s">
        <v>22</v>
      </c>
      <c r="E13" s="31">
        <v>1.8572610005E10</v>
      </c>
      <c r="F13" s="36">
        <v>46244.0</v>
      </c>
      <c r="G13" s="39">
        <v>0.6666666666666666</v>
      </c>
      <c r="H13" s="39">
        <v>0.75</v>
      </c>
      <c r="I13" s="42"/>
      <c r="J13" s="49" t="str">
        <f t="shared" ref="J13:J18" si="1">INT((H13-G13)*24) &amp; " jam"</f>
        <v>2 jam</v>
      </c>
      <c r="K13" s="48" t="s">
        <v>134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6"/>
      <c r="C14" s="31">
        <f t="shared" ref="C14:C29" si="2">C13+1</f>
        <v>2</v>
      </c>
      <c r="D14" s="34" t="s">
        <v>23</v>
      </c>
      <c r="E14" s="31">
        <v>1.8572610004E10</v>
      </c>
      <c r="F14" s="36">
        <v>46244.0</v>
      </c>
      <c r="G14" s="39">
        <v>0.6666666666666666</v>
      </c>
      <c r="H14" s="39">
        <v>0.75</v>
      </c>
      <c r="I14" s="42"/>
      <c r="J14" s="49" t="str">
        <f t="shared" si="1"/>
        <v>2 jam</v>
      </c>
      <c r="K14" s="48" t="s">
        <v>135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1"/>
      <c r="B15" s="62"/>
      <c r="C15" s="86">
        <f t="shared" si="2"/>
        <v>3</v>
      </c>
      <c r="D15" s="45" t="s">
        <v>20</v>
      </c>
      <c r="E15" s="30">
        <v>1.8572610006E10</v>
      </c>
      <c r="F15" s="47">
        <v>46245.0</v>
      </c>
      <c r="G15" s="38">
        <v>0.6666666666666666</v>
      </c>
      <c r="H15" s="38">
        <v>0.75</v>
      </c>
      <c r="I15" s="79"/>
      <c r="J15" s="38" t="str">
        <f t="shared" si="1"/>
        <v>2 jam</v>
      </c>
      <c r="K15" s="48" t="s">
        <v>136</v>
      </c>
      <c r="L15" s="65"/>
      <c r="M15" s="66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1"/>
      <c r="B16" s="6"/>
      <c r="C16" s="87">
        <f t="shared" si="2"/>
        <v>4</v>
      </c>
      <c r="D16" s="34" t="s">
        <v>23</v>
      </c>
      <c r="E16" s="31">
        <v>1.8572610004E10</v>
      </c>
      <c r="F16" s="36">
        <v>46245.0</v>
      </c>
      <c r="G16" s="39">
        <v>0.6666666666666666</v>
      </c>
      <c r="H16" s="39">
        <v>0.75</v>
      </c>
      <c r="I16" s="42"/>
      <c r="J16" s="49" t="str">
        <f t="shared" si="1"/>
        <v>2 jam</v>
      </c>
      <c r="K16" s="48" t="s">
        <v>135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"/>
      <c r="C17" s="87">
        <f t="shared" si="2"/>
        <v>5</v>
      </c>
      <c r="D17" s="34" t="s">
        <v>22</v>
      </c>
      <c r="E17" s="31">
        <v>1.8572610005E10</v>
      </c>
      <c r="F17" s="36">
        <v>46245.0</v>
      </c>
      <c r="G17" s="39">
        <v>0.6666666666666666</v>
      </c>
      <c r="H17" s="39">
        <v>0.7083333333333334</v>
      </c>
      <c r="I17" s="42"/>
      <c r="J17" s="49" t="str">
        <f t="shared" si="1"/>
        <v>1 jam</v>
      </c>
      <c r="K17" s="48" t="s">
        <v>137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6"/>
      <c r="C18" s="88">
        <f t="shared" si="2"/>
        <v>6</v>
      </c>
      <c r="D18" s="34" t="s">
        <v>21</v>
      </c>
      <c r="E18" s="31">
        <v>1.8572610003E10</v>
      </c>
      <c r="F18" s="36">
        <v>46245.0</v>
      </c>
      <c r="G18" s="39">
        <v>0.6666666666666666</v>
      </c>
      <c r="H18" s="39">
        <v>0.7916666666666666</v>
      </c>
      <c r="I18" s="42"/>
      <c r="J18" s="49" t="str">
        <f t="shared" si="1"/>
        <v>3 jam</v>
      </c>
      <c r="K18" s="48" t="s">
        <v>138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61"/>
      <c r="B19" s="62"/>
      <c r="C19" s="88">
        <f t="shared" si="2"/>
        <v>7</v>
      </c>
      <c r="D19" s="45" t="s">
        <v>22</v>
      </c>
      <c r="E19" s="30">
        <v>1.8572610005E10</v>
      </c>
      <c r="F19" s="47">
        <v>46246.0</v>
      </c>
      <c r="G19" s="38">
        <v>0.5</v>
      </c>
      <c r="H19" s="38">
        <v>0.5416666666666666</v>
      </c>
      <c r="I19" s="42"/>
      <c r="J19" s="85" t="s">
        <v>33</v>
      </c>
      <c r="K19" s="52" t="s">
        <v>139</v>
      </c>
      <c r="L19" s="65"/>
      <c r="M19" s="66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1"/>
      <c r="B20" s="62"/>
      <c r="C20" s="88">
        <f t="shared" si="2"/>
        <v>8</v>
      </c>
      <c r="D20" s="45" t="s">
        <v>20</v>
      </c>
      <c r="E20" s="30">
        <v>1.8572610006E10</v>
      </c>
      <c r="F20" s="47">
        <v>46246.0</v>
      </c>
      <c r="G20" s="38">
        <v>0.6666666666666666</v>
      </c>
      <c r="H20" s="59">
        <v>0.7083333333333334</v>
      </c>
      <c r="I20" s="79"/>
      <c r="J20" s="38" t="str">
        <f t="shared" ref="J20:J29" si="3">INT((H20-G20)*24) &amp; " jam"</f>
        <v>1 jam</v>
      </c>
      <c r="K20" s="48" t="s">
        <v>140</v>
      </c>
      <c r="L20" s="65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1"/>
      <c r="B21" s="6"/>
      <c r="C21" s="88">
        <f t="shared" si="2"/>
        <v>9</v>
      </c>
      <c r="D21" s="34" t="s">
        <v>21</v>
      </c>
      <c r="E21" s="31">
        <v>1.8572610003E10</v>
      </c>
      <c r="F21" s="36">
        <v>46246.0</v>
      </c>
      <c r="G21" s="39">
        <v>0.6666666666666666</v>
      </c>
      <c r="H21" s="39">
        <v>0.75</v>
      </c>
      <c r="I21" s="42"/>
      <c r="J21" s="49" t="str">
        <f t="shared" si="3"/>
        <v>2 jam</v>
      </c>
      <c r="K21" s="48" t="s">
        <v>141</v>
      </c>
      <c r="L21" s="50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6"/>
      <c r="C22" s="88">
        <f t="shared" si="2"/>
        <v>10</v>
      </c>
      <c r="D22" s="34" t="s">
        <v>23</v>
      </c>
      <c r="E22" s="31">
        <v>1.8572610004E10</v>
      </c>
      <c r="F22" s="36">
        <v>46246.0</v>
      </c>
      <c r="G22" s="39">
        <v>0.6666666666666666</v>
      </c>
      <c r="H22" s="39">
        <v>0.75</v>
      </c>
      <c r="I22" s="42"/>
      <c r="J22" s="49" t="str">
        <f t="shared" si="3"/>
        <v>2 jam</v>
      </c>
      <c r="K22" s="48" t="s">
        <v>135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6"/>
      <c r="C23" s="88">
        <f t="shared" si="2"/>
        <v>11</v>
      </c>
      <c r="D23" s="34" t="s">
        <v>21</v>
      </c>
      <c r="E23" s="31">
        <v>1.8572610003E10</v>
      </c>
      <c r="F23" s="36">
        <v>46247.0</v>
      </c>
      <c r="G23" s="39">
        <v>0.6666666666666666</v>
      </c>
      <c r="H23" s="39">
        <v>0.75</v>
      </c>
      <c r="I23" s="42"/>
      <c r="J23" s="49" t="str">
        <f t="shared" si="3"/>
        <v>2 jam</v>
      </c>
      <c r="K23" s="48" t="s">
        <v>27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7.0" customHeight="1">
      <c r="A24" s="1"/>
      <c r="B24" s="6"/>
      <c r="C24" s="88">
        <f t="shared" si="2"/>
        <v>12</v>
      </c>
      <c r="D24" s="34" t="s">
        <v>23</v>
      </c>
      <c r="E24" s="31">
        <v>1.8572610004E10</v>
      </c>
      <c r="F24" s="36">
        <v>46247.0</v>
      </c>
      <c r="G24" s="39">
        <v>0.6666666666666666</v>
      </c>
      <c r="H24" s="39">
        <v>0.75</v>
      </c>
      <c r="I24" s="42"/>
      <c r="J24" s="49" t="str">
        <f t="shared" si="3"/>
        <v>2 jam</v>
      </c>
      <c r="K24" s="48" t="s">
        <v>135</v>
      </c>
      <c r="L24" s="50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7.0" customHeight="1">
      <c r="A25" s="1"/>
      <c r="B25" s="6"/>
      <c r="C25" s="88">
        <f t="shared" si="2"/>
        <v>13</v>
      </c>
      <c r="D25" s="34" t="s">
        <v>23</v>
      </c>
      <c r="E25" s="31">
        <v>1.8572610004E10</v>
      </c>
      <c r="F25" s="36">
        <v>46248.0</v>
      </c>
      <c r="G25" s="39">
        <v>0.6666666666666666</v>
      </c>
      <c r="H25" s="39">
        <v>0.7083333333333334</v>
      </c>
      <c r="I25" s="42"/>
      <c r="J25" s="49" t="str">
        <f t="shared" si="3"/>
        <v>1 jam</v>
      </c>
      <c r="K25" s="48" t="s">
        <v>135</v>
      </c>
      <c r="L25" s="50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6"/>
      <c r="C26" s="88">
        <f t="shared" si="2"/>
        <v>14</v>
      </c>
      <c r="D26" s="34" t="s">
        <v>21</v>
      </c>
      <c r="E26" s="31">
        <v>1.8572610003E10</v>
      </c>
      <c r="F26" s="36">
        <v>46248.0</v>
      </c>
      <c r="G26" s="39">
        <v>0.6666666666666666</v>
      </c>
      <c r="H26" s="39">
        <v>0.7083333333333334</v>
      </c>
      <c r="I26" s="42"/>
      <c r="J26" s="49" t="str">
        <f t="shared" si="3"/>
        <v>1 jam</v>
      </c>
      <c r="K26" s="48" t="s">
        <v>142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88">
        <f t="shared" si="2"/>
        <v>15</v>
      </c>
      <c r="D27" s="45" t="s">
        <v>22</v>
      </c>
      <c r="E27" s="30">
        <v>1.8572610005E10</v>
      </c>
      <c r="F27" s="36">
        <v>46248.0</v>
      </c>
      <c r="G27" s="39">
        <v>0.6666666666666666</v>
      </c>
      <c r="H27" s="39">
        <v>0.7083333333333334</v>
      </c>
      <c r="I27" s="42"/>
      <c r="J27" s="49" t="str">
        <f t="shared" si="3"/>
        <v>1 jam</v>
      </c>
      <c r="K27" s="52" t="s">
        <v>143</v>
      </c>
      <c r="L27" s="65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"/>
      <c r="C28" s="88">
        <f t="shared" si="2"/>
        <v>16</v>
      </c>
      <c r="D28" s="34" t="s">
        <v>21</v>
      </c>
      <c r="E28" s="31">
        <v>1.8572610003E10</v>
      </c>
      <c r="F28" s="36">
        <v>46249.0</v>
      </c>
      <c r="G28" s="39">
        <v>0.5833333333333334</v>
      </c>
      <c r="H28" s="39">
        <v>0.7083333333333334</v>
      </c>
      <c r="I28" s="42"/>
      <c r="J28" s="49" t="str">
        <f t="shared" si="3"/>
        <v>3 jam</v>
      </c>
      <c r="K28" s="48" t="s">
        <v>144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/>
      <c r="C29" s="88">
        <f t="shared" si="2"/>
        <v>17</v>
      </c>
      <c r="D29" s="45" t="s">
        <v>22</v>
      </c>
      <c r="E29" s="30">
        <v>1.8572610005E10</v>
      </c>
      <c r="F29" s="36">
        <v>46249.0</v>
      </c>
      <c r="G29" s="39">
        <v>0.5833333333333334</v>
      </c>
      <c r="H29" s="39">
        <v>0.7083333333333334</v>
      </c>
      <c r="I29" s="42"/>
      <c r="J29" s="49" t="str">
        <f t="shared" si="3"/>
        <v>3 jam</v>
      </c>
      <c r="K29" s="52" t="s">
        <v>145</v>
      </c>
      <c r="L29" s="65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6"/>
      <c r="C30" s="76"/>
      <c r="D30" s="76"/>
      <c r="E30" s="61"/>
      <c r="F30" s="61"/>
      <c r="G30" s="61"/>
      <c r="H30" s="61"/>
      <c r="I30" s="61"/>
      <c r="J30" s="61"/>
      <c r="K30" s="76"/>
      <c r="L30" s="6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6"/>
      <c r="C31" s="76"/>
      <c r="D31" s="76"/>
      <c r="E31" s="61"/>
      <c r="F31" s="61"/>
      <c r="G31" s="61"/>
      <c r="H31" s="61"/>
      <c r="I31" s="61"/>
      <c r="J31" s="61"/>
      <c r="K31" s="76"/>
      <c r="L31" s="6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76" t="s">
        <v>63</v>
      </c>
      <c r="E32" s="61"/>
      <c r="F32" s="61"/>
      <c r="H32" s="61"/>
      <c r="J32" s="61"/>
      <c r="K32" s="76" t="s">
        <v>64</v>
      </c>
      <c r="L32" s="6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71" t="s">
        <v>73</v>
      </c>
      <c r="E40" s="1"/>
      <c r="F40" s="1"/>
      <c r="G40" s="1"/>
      <c r="H40" s="1"/>
      <c r="I40" s="1"/>
      <c r="J40" s="1"/>
      <c r="K40" s="7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72" t="s">
        <v>77</v>
      </c>
      <c r="E41" s="1"/>
      <c r="F41" s="1"/>
      <c r="H41" s="68"/>
      <c r="J41" s="1"/>
      <c r="K41" s="71" t="s">
        <v>78</v>
      </c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7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1:G41"/>
    <mergeCell ref="H41:I41"/>
    <mergeCell ref="D11:D12"/>
    <mergeCell ref="E11:E12"/>
    <mergeCell ref="C32:D32"/>
    <mergeCell ref="F32:G32"/>
    <mergeCell ref="H32:I32"/>
    <mergeCell ref="C40:D40"/>
    <mergeCell ref="C41:D41"/>
  </mergeCells>
  <dataValidations>
    <dataValidation type="list" allowBlank="1" showErrorMessage="1" sqref="D13:D29">
      <formula1>"INDA MUTMAINNA,ANUGRAH NUR AULIANI,FIRJIANTO GERALD MANDORO,ZA'IM FATHURRAHMAN ILHAM"</formula1>
    </dataValidation>
    <dataValidation type="list" allowBlank="1" showErrorMessage="1" sqref="E13:E29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146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89">
        <v>1.0</v>
      </c>
      <c r="D13" s="34" t="s">
        <v>21</v>
      </c>
      <c r="E13" s="31">
        <v>1.8572610003E10</v>
      </c>
      <c r="F13" s="36">
        <v>46252.0</v>
      </c>
      <c r="G13" s="39">
        <v>0.6666666666666666</v>
      </c>
      <c r="H13" s="39">
        <v>0.7916666666666666</v>
      </c>
      <c r="I13" s="42"/>
      <c r="J13" s="49" t="str">
        <f t="shared" ref="J13:J23" si="1">INT((H13-G13)*24) &amp; " jam"</f>
        <v>3 jam</v>
      </c>
      <c r="K13" s="48" t="s">
        <v>147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7.0" customHeight="1">
      <c r="A14" s="90" t="s">
        <v>148</v>
      </c>
      <c r="B14" s="6"/>
      <c r="C14" s="88">
        <f t="shared" ref="C14:C27" si="2">C13+1</f>
        <v>2</v>
      </c>
      <c r="D14" s="34" t="s">
        <v>23</v>
      </c>
      <c r="E14" s="31">
        <v>1.8572610004E10</v>
      </c>
      <c r="F14" s="36">
        <v>46252.0</v>
      </c>
      <c r="G14" s="39">
        <v>0.6666666666666666</v>
      </c>
      <c r="H14" s="39">
        <v>0.75</v>
      </c>
      <c r="I14" s="42"/>
      <c r="J14" s="49" t="str">
        <f t="shared" si="1"/>
        <v>2 jam</v>
      </c>
      <c r="K14" s="48" t="s">
        <v>135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7.0" customHeight="1">
      <c r="A15" s="90" t="s">
        <v>148</v>
      </c>
      <c r="B15" s="6"/>
      <c r="C15" s="88">
        <f t="shared" si="2"/>
        <v>3</v>
      </c>
      <c r="D15" s="34" t="s">
        <v>20</v>
      </c>
      <c r="E15" s="31">
        <v>1.8572610006E10</v>
      </c>
      <c r="F15" s="36">
        <v>46252.0</v>
      </c>
      <c r="G15" s="39">
        <v>0.6666666666666666</v>
      </c>
      <c r="H15" s="39">
        <v>0.7083333333333334</v>
      </c>
      <c r="I15" s="42"/>
      <c r="J15" s="49" t="str">
        <f t="shared" si="1"/>
        <v>1 jam</v>
      </c>
      <c r="K15" s="48" t="s">
        <v>149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7.0" customHeight="1">
      <c r="A16" s="90"/>
      <c r="B16" s="6"/>
      <c r="C16" s="88">
        <f t="shared" si="2"/>
        <v>4</v>
      </c>
      <c r="D16" s="45" t="s">
        <v>22</v>
      </c>
      <c r="E16" s="30">
        <v>1.8572610005E10</v>
      </c>
      <c r="F16" s="36">
        <v>46252.0</v>
      </c>
      <c r="G16" s="39">
        <v>0.6666666666666666</v>
      </c>
      <c r="H16" s="39">
        <v>0.7916666666666666</v>
      </c>
      <c r="I16" s="42"/>
      <c r="J16" s="49" t="str">
        <f t="shared" si="1"/>
        <v>3 jam</v>
      </c>
      <c r="K16" s="52" t="s">
        <v>150</v>
      </c>
      <c r="L16" s="65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"/>
      <c r="C17" s="89">
        <f t="shared" si="2"/>
        <v>5</v>
      </c>
      <c r="D17" s="34" t="s">
        <v>21</v>
      </c>
      <c r="E17" s="31">
        <v>1.8572610003E10</v>
      </c>
      <c r="F17" s="36">
        <v>46253.0</v>
      </c>
      <c r="G17" s="39">
        <v>0.6666666666666666</v>
      </c>
      <c r="H17" s="39">
        <v>0.7083333333333334</v>
      </c>
      <c r="I17" s="42"/>
      <c r="J17" s="49" t="str">
        <f t="shared" si="1"/>
        <v>1 jam</v>
      </c>
      <c r="K17" s="48" t="s">
        <v>151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7.0" customHeight="1">
      <c r="A18" s="90" t="s">
        <v>148</v>
      </c>
      <c r="B18" s="6"/>
      <c r="C18" s="88">
        <f t="shared" si="2"/>
        <v>6</v>
      </c>
      <c r="D18" s="34" t="s">
        <v>23</v>
      </c>
      <c r="E18" s="31">
        <v>1.8572610004E10</v>
      </c>
      <c r="F18" s="36">
        <v>46253.0</v>
      </c>
      <c r="G18" s="39">
        <v>0.6666666666666666</v>
      </c>
      <c r="H18" s="39">
        <v>0.7083333333333334</v>
      </c>
      <c r="I18" s="42"/>
      <c r="J18" s="49" t="str">
        <f t="shared" si="1"/>
        <v>1 jam</v>
      </c>
      <c r="K18" s="48" t="s">
        <v>135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7.0" customHeight="1">
      <c r="A19" s="90"/>
      <c r="B19" s="6"/>
      <c r="C19" s="88">
        <f t="shared" si="2"/>
        <v>7</v>
      </c>
      <c r="D19" s="45" t="s">
        <v>22</v>
      </c>
      <c r="E19" s="30">
        <v>1.8572610005E10</v>
      </c>
      <c r="F19" s="36">
        <v>46253.0</v>
      </c>
      <c r="G19" s="39">
        <v>0.6666666666666666</v>
      </c>
      <c r="H19" s="39">
        <v>0.75</v>
      </c>
      <c r="I19" s="42"/>
      <c r="J19" s="49" t="str">
        <f t="shared" si="1"/>
        <v>2 jam</v>
      </c>
      <c r="K19" s="52" t="s">
        <v>152</v>
      </c>
      <c r="L19" s="65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6"/>
      <c r="C20" s="89">
        <f t="shared" si="2"/>
        <v>8</v>
      </c>
      <c r="D20" s="34" t="s">
        <v>21</v>
      </c>
      <c r="E20" s="31">
        <v>1.8572610003E10</v>
      </c>
      <c r="F20" s="36">
        <v>46254.0</v>
      </c>
      <c r="G20" s="39">
        <v>0.6666666666666666</v>
      </c>
      <c r="H20" s="39">
        <v>0.7083333333333334</v>
      </c>
      <c r="I20" s="42"/>
      <c r="J20" s="49" t="str">
        <f t="shared" si="1"/>
        <v>1 jam</v>
      </c>
      <c r="K20" s="48" t="s">
        <v>153</v>
      </c>
      <c r="L20" s="50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7.0" customHeight="1">
      <c r="A21" s="90" t="s">
        <v>148</v>
      </c>
      <c r="B21" s="6"/>
      <c r="C21" s="88">
        <f t="shared" si="2"/>
        <v>9</v>
      </c>
      <c r="D21" s="34" t="s">
        <v>23</v>
      </c>
      <c r="E21" s="31">
        <v>1.8572610004E10</v>
      </c>
      <c r="F21" s="36">
        <v>46254.0</v>
      </c>
      <c r="G21" s="39">
        <v>0.6666666666666666</v>
      </c>
      <c r="H21" s="39">
        <v>0.75</v>
      </c>
      <c r="I21" s="42"/>
      <c r="J21" s="49" t="str">
        <f t="shared" si="1"/>
        <v>2 jam</v>
      </c>
      <c r="K21" s="48" t="s">
        <v>135</v>
      </c>
      <c r="L21" s="50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6"/>
      <c r="C22" s="88">
        <f t="shared" si="2"/>
        <v>10</v>
      </c>
      <c r="D22" s="34" t="s">
        <v>21</v>
      </c>
      <c r="E22" s="31">
        <v>1.8572610004E10</v>
      </c>
      <c r="F22" s="36">
        <v>46255.0</v>
      </c>
      <c r="G22" s="39">
        <v>0.6666666666666666</v>
      </c>
      <c r="H22" s="39">
        <v>0.75</v>
      </c>
      <c r="I22" s="42"/>
      <c r="J22" s="49" t="str">
        <f t="shared" si="1"/>
        <v>2 jam</v>
      </c>
      <c r="K22" s="48" t="s">
        <v>154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6"/>
      <c r="C23" s="88">
        <f t="shared" si="2"/>
        <v>11</v>
      </c>
      <c r="D23" s="45" t="s">
        <v>22</v>
      </c>
      <c r="E23" s="30">
        <v>1.8572610005E10</v>
      </c>
      <c r="F23" s="36">
        <v>46255.0</v>
      </c>
      <c r="G23" s="39">
        <v>0.6666666666666666</v>
      </c>
      <c r="H23" s="39">
        <v>0.75</v>
      </c>
      <c r="I23" s="42"/>
      <c r="J23" s="49" t="str">
        <f t="shared" si="1"/>
        <v>2 jam</v>
      </c>
      <c r="K23" s="48" t="s">
        <v>155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6"/>
      <c r="C24" s="88">
        <f t="shared" si="2"/>
        <v>12</v>
      </c>
      <c r="D24" s="34" t="s">
        <v>21</v>
      </c>
      <c r="E24" s="31">
        <v>1.8572610004E10</v>
      </c>
      <c r="F24" s="36">
        <v>46256.0</v>
      </c>
      <c r="G24" s="39">
        <v>0.5</v>
      </c>
      <c r="H24" s="39">
        <v>0.5416666666666666</v>
      </c>
      <c r="I24" s="42"/>
      <c r="J24" s="91" t="s">
        <v>25</v>
      </c>
      <c r="K24" s="48" t="s">
        <v>156</v>
      </c>
      <c r="L24" s="50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6"/>
      <c r="C25" s="88">
        <f t="shared" si="2"/>
        <v>13</v>
      </c>
      <c r="D25" s="34" t="s">
        <v>23</v>
      </c>
      <c r="E25" s="31">
        <v>1.8572610004E10</v>
      </c>
      <c r="F25" s="36">
        <v>46256.0</v>
      </c>
      <c r="G25" s="39">
        <v>0.5833333333333334</v>
      </c>
      <c r="H25" s="39">
        <v>0.6666666666666666</v>
      </c>
      <c r="I25" s="42"/>
      <c r="J25" s="49" t="str">
        <f t="shared" ref="J25:J27" si="3">INT((H25-G25)*24) &amp; " jam"</f>
        <v>2 jam</v>
      </c>
      <c r="K25" s="48" t="s">
        <v>157</v>
      </c>
      <c r="L25" s="50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6"/>
      <c r="C26" s="88">
        <f t="shared" si="2"/>
        <v>14</v>
      </c>
      <c r="D26" s="34" t="s">
        <v>21</v>
      </c>
      <c r="E26" s="31">
        <v>1.8572610003E10</v>
      </c>
      <c r="F26" s="36">
        <v>46256.0</v>
      </c>
      <c r="G26" s="39">
        <v>0.5833333333333334</v>
      </c>
      <c r="H26" s="39">
        <v>0.7916666666666666</v>
      </c>
      <c r="I26" s="42"/>
      <c r="J26" s="49" t="str">
        <f t="shared" si="3"/>
        <v>5 jam</v>
      </c>
      <c r="K26" s="48" t="s">
        <v>158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88">
        <f t="shared" si="2"/>
        <v>15</v>
      </c>
      <c r="D27" s="45" t="s">
        <v>22</v>
      </c>
      <c r="E27" s="30">
        <v>1.8572610005E10</v>
      </c>
      <c r="F27" s="36">
        <v>46256.0</v>
      </c>
      <c r="G27" s="39">
        <v>0.5833333333333334</v>
      </c>
      <c r="H27" s="39">
        <v>0.6666666666666666</v>
      </c>
      <c r="I27" s="42"/>
      <c r="J27" s="49" t="str">
        <f t="shared" si="3"/>
        <v>2 jam</v>
      </c>
      <c r="K27" s="48" t="s">
        <v>159</v>
      </c>
      <c r="L27" s="50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"/>
      <c r="C28" s="76"/>
      <c r="D28" s="76"/>
      <c r="E28" s="61"/>
      <c r="F28" s="61"/>
      <c r="G28" s="61"/>
      <c r="H28" s="61"/>
      <c r="I28" s="61"/>
      <c r="J28" s="61"/>
      <c r="K28" s="76"/>
      <c r="L28" s="6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/>
      <c r="C29" s="76" t="s">
        <v>63</v>
      </c>
      <c r="E29" s="61"/>
      <c r="F29" s="61"/>
      <c r="H29" s="61"/>
      <c r="J29" s="61"/>
      <c r="K29" s="76" t="s">
        <v>64</v>
      </c>
      <c r="L29" s="6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71" t="s">
        <v>73</v>
      </c>
      <c r="E37" s="1"/>
      <c r="F37" s="1"/>
      <c r="G37" s="1"/>
      <c r="H37" s="1"/>
      <c r="I37" s="1"/>
      <c r="J37" s="1"/>
      <c r="K37" s="7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72" t="s">
        <v>77</v>
      </c>
      <c r="E38" s="1"/>
      <c r="F38" s="1"/>
      <c r="H38" s="68"/>
      <c r="J38" s="1"/>
      <c r="K38" s="71" t="s">
        <v>78</v>
      </c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9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7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38:G38"/>
    <mergeCell ref="H38:I38"/>
    <mergeCell ref="D11:D12"/>
    <mergeCell ref="E11:E12"/>
    <mergeCell ref="C29:D29"/>
    <mergeCell ref="F29:G29"/>
    <mergeCell ref="H29:I29"/>
    <mergeCell ref="C37:D37"/>
    <mergeCell ref="C38:D38"/>
  </mergeCells>
  <dataValidations>
    <dataValidation type="list" allowBlank="1" showErrorMessage="1" sqref="D13:D27">
      <formula1>"INDA MUTMAINNA,ANUGRAH NUR AULIANI,FIRJIANTO GERALD MANDORO,ZA'IM FATHURRAHMAN ILHAM"</formula1>
    </dataValidation>
    <dataValidation type="list" allowBlank="1" showErrorMessage="1" sqref="E13:E27">
      <formula1>"18572610006,18572610005,18572610004,18572610003"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160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89">
        <v>1.0</v>
      </c>
      <c r="D13" s="34" t="s">
        <v>23</v>
      </c>
      <c r="E13" s="31">
        <v>1.8572610004E10</v>
      </c>
      <c r="F13" s="36">
        <v>46258.0</v>
      </c>
      <c r="G13" s="39">
        <v>0.6666666666666666</v>
      </c>
      <c r="H13" s="39">
        <v>0.75</v>
      </c>
      <c r="I13" s="42"/>
      <c r="J13" s="49" t="str">
        <f t="shared" ref="J13:J20" si="1">INT((H13-G13)*24) &amp; " jam"</f>
        <v>2 jam</v>
      </c>
      <c r="K13" s="48" t="s">
        <v>161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6"/>
      <c r="C14" s="88">
        <f t="shared" ref="C14:C16" si="2">C13+1</f>
        <v>2</v>
      </c>
      <c r="D14" s="34" t="s">
        <v>21</v>
      </c>
      <c r="E14" s="31">
        <v>1.8572610003E10</v>
      </c>
      <c r="F14" s="36">
        <v>46258.0</v>
      </c>
      <c r="G14" s="39">
        <v>0.6666666666666666</v>
      </c>
      <c r="H14" s="39">
        <v>0.7916666666666666</v>
      </c>
      <c r="I14" s="42"/>
      <c r="J14" s="49" t="str">
        <f t="shared" si="1"/>
        <v>3 jam</v>
      </c>
      <c r="K14" s="48" t="s">
        <v>162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88">
        <f t="shared" si="2"/>
        <v>3</v>
      </c>
      <c r="D15" s="34" t="s">
        <v>20</v>
      </c>
      <c r="E15" s="31">
        <v>1.8572610006E10</v>
      </c>
      <c r="F15" s="36">
        <v>46258.0</v>
      </c>
      <c r="G15" s="39">
        <v>0.6666666666666666</v>
      </c>
      <c r="H15" s="39">
        <v>0.75</v>
      </c>
      <c r="I15" s="42"/>
      <c r="J15" s="49" t="str">
        <f t="shared" si="1"/>
        <v>2 jam</v>
      </c>
      <c r="K15" s="48" t="s">
        <v>163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/>
      <c r="C16" s="88">
        <f t="shared" si="2"/>
        <v>4</v>
      </c>
      <c r="D16" s="45" t="s">
        <v>22</v>
      </c>
      <c r="E16" s="30">
        <v>1.8572610005E10</v>
      </c>
      <c r="F16" s="36">
        <v>46258.0</v>
      </c>
      <c r="G16" s="39">
        <v>0.6666666666666666</v>
      </c>
      <c r="H16" s="39">
        <v>0.7916666666666666</v>
      </c>
      <c r="I16" s="42"/>
      <c r="J16" s="49" t="str">
        <f t="shared" si="1"/>
        <v>3 jam</v>
      </c>
      <c r="K16" s="48" t="s">
        <v>164</v>
      </c>
      <c r="L16" s="50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"/>
      <c r="C17" s="88">
        <f>C15+1</f>
        <v>4</v>
      </c>
      <c r="D17" s="34" t="s">
        <v>21</v>
      </c>
      <c r="E17" s="31">
        <v>1.8572610003E10</v>
      </c>
      <c r="F17" s="36">
        <v>46259.0</v>
      </c>
      <c r="G17" s="39">
        <v>0.3333333333333333</v>
      </c>
      <c r="H17" s="39">
        <v>0.625</v>
      </c>
      <c r="I17" s="42"/>
      <c r="J17" s="49" t="str">
        <f t="shared" si="1"/>
        <v>7 jam</v>
      </c>
      <c r="K17" s="48" t="s">
        <v>165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1"/>
      <c r="B18" s="62"/>
      <c r="C18" s="88">
        <f t="shared" ref="C18:C33" si="3">C17+1</f>
        <v>5</v>
      </c>
      <c r="D18" s="32" t="s">
        <v>23</v>
      </c>
      <c r="E18" s="53">
        <v>1.8572610004E10</v>
      </c>
      <c r="F18" s="47">
        <v>46259.0</v>
      </c>
      <c r="G18" s="59">
        <v>0.625</v>
      </c>
      <c r="H18" s="38">
        <v>0.75</v>
      </c>
      <c r="I18" s="79"/>
      <c r="J18" s="38" t="str">
        <f t="shared" si="1"/>
        <v>3 jam</v>
      </c>
      <c r="K18" s="48" t="s">
        <v>166</v>
      </c>
      <c r="L18" s="65"/>
      <c r="M18" s="66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1"/>
      <c r="B19" s="6"/>
      <c r="C19" s="88">
        <f t="shared" si="3"/>
        <v>6</v>
      </c>
      <c r="D19" s="34" t="s">
        <v>21</v>
      </c>
      <c r="E19" s="31">
        <v>1.8572610003E10</v>
      </c>
      <c r="F19" s="36">
        <v>46260.0</v>
      </c>
      <c r="G19" s="39">
        <v>0.6666666666666666</v>
      </c>
      <c r="H19" s="39">
        <v>0.7083333333333334</v>
      </c>
      <c r="I19" s="42"/>
      <c r="J19" s="49" t="str">
        <f t="shared" si="1"/>
        <v>1 jam</v>
      </c>
      <c r="K19" s="48" t="s">
        <v>167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1"/>
      <c r="B20" s="62"/>
      <c r="C20" s="88">
        <f t="shared" si="3"/>
        <v>7</v>
      </c>
      <c r="D20" s="32" t="s">
        <v>23</v>
      </c>
      <c r="E20" s="53">
        <v>1.8572610004E10</v>
      </c>
      <c r="F20" s="40">
        <v>46260.0</v>
      </c>
      <c r="G20" s="39">
        <v>0.6666666666666666</v>
      </c>
      <c r="H20" s="59">
        <v>0.7083333333333334</v>
      </c>
      <c r="I20" s="79"/>
      <c r="J20" s="38" t="str">
        <f t="shared" si="1"/>
        <v>1 jam</v>
      </c>
      <c r="K20" s="48" t="s">
        <v>168</v>
      </c>
      <c r="L20" s="65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2"/>
      <c r="C21" s="88">
        <f t="shared" si="3"/>
        <v>8</v>
      </c>
      <c r="D21" s="45" t="s">
        <v>22</v>
      </c>
      <c r="E21" s="30">
        <v>1.8572610005E10</v>
      </c>
      <c r="F21" s="40">
        <v>46260.0</v>
      </c>
      <c r="G21" s="39">
        <v>0.5</v>
      </c>
      <c r="H21" s="39">
        <v>0.5416666666666666</v>
      </c>
      <c r="I21" s="42"/>
      <c r="J21" s="91" t="s">
        <v>25</v>
      </c>
      <c r="K21" s="48" t="s">
        <v>169</v>
      </c>
      <c r="L21" s="50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1"/>
      <c r="B22" s="62"/>
      <c r="C22" s="88">
        <f t="shared" si="3"/>
        <v>9</v>
      </c>
      <c r="D22" s="45" t="s">
        <v>22</v>
      </c>
      <c r="E22" s="30">
        <v>1.8572610005E10</v>
      </c>
      <c r="F22" s="40">
        <v>46260.0</v>
      </c>
      <c r="G22" s="39">
        <v>0.6666666666666666</v>
      </c>
      <c r="H22" s="59">
        <v>0.7083333333333334</v>
      </c>
      <c r="I22" s="42"/>
      <c r="J22" s="49" t="str">
        <f t="shared" ref="J22:J30" si="4">INT((H22-G22)*24) &amp; " jam"</f>
        <v>1 jam</v>
      </c>
      <c r="K22" s="48" t="s">
        <v>170</v>
      </c>
      <c r="L22" s="50"/>
      <c r="M22" s="66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2"/>
      <c r="C23" s="86">
        <f t="shared" si="3"/>
        <v>10</v>
      </c>
      <c r="D23" s="33" t="s">
        <v>20</v>
      </c>
      <c r="E23" s="37">
        <v>1.8572610006E10</v>
      </c>
      <c r="F23" s="40">
        <v>46260.0</v>
      </c>
      <c r="G23" s="38">
        <v>0.6666666666666666</v>
      </c>
      <c r="H23" s="55">
        <v>0.7083333333333334</v>
      </c>
      <c r="I23" s="79"/>
      <c r="J23" s="38" t="str">
        <f t="shared" si="4"/>
        <v>1 jam</v>
      </c>
      <c r="K23" s="48" t="s">
        <v>171</v>
      </c>
      <c r="L23" s="65"/>
      <c r="M23" s="66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2"/>
      <c r="C24" s="86">
        <f t="shared" si="3"/>
        <v>11</v>
      </c>
      <c r="D24" s="33" t="s">
        <v>20</v>
      </c>
      <c r="E24" s="37">
        <v>1.8572610006E10</v>
      </c>
      <c r="F24" s="40">
        <v>46261.0</v>
      </c>
      <c r="G24" s="38">
        <v>0.6666666666666666</v>
      </c>
      <c r="H24" s="55">
        <v>0.7083333333333334</v>
      </c>
      <c r="I24" s="79"/>
      <c r="J24" s="38" t="str">
        <f t="shared" si="4"/>
        <v>1 jam</v>
      </c>
      <c r="K24" s="48" t="s">
        <v>172</v>
      </c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1"/>
      <c r="B25" s="62"/>
      <c r="C25" s="88">
        <f t="shared" si="3"/>
        <v>12</v>
      </c>
      <c r="D25" s="32" t="s">
        <v>23</v>
      </c>
      <c r="E25" s="53">
        <v>1.8572610004E10</v>
      </c>
      <c r="F25" s="40">
        <v>46261.0</v>
      </c>
      <c r="G25" s="39">
        <v>0.6666666666666666</v>
      </c>
      <c r="H25" s="38">
        <v>0.75</v>
      </c>
      <c r="I25" s="79"/>
      <c r="J25" s="38" t="str">
        <f t="shared" si="4"/>
        <v>2 jam</v>
      </c>
      <c r="K25" s="48" t="s">
        <v>173</v>
      </c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1"/>
      <c r="B26" s="6"/>
      <c r="C26" s="88">
        <f t="shared" si="3"/>
        <v>13</v>
      </c>
      <c r="D26" s="34" t="s">
        <v>21</v>
      </c>
      <c r="E26" s="31">
        <v>1.8572610003E10</v>
      </c>
      <c r="F26" s="36">
        <v>46261.0</v>
      </c>
      <c r="G26" s="39">
        <v>0.6666666666666666</v>
      </c>
      <c r="H26" s="39">
        <v>0.75</v>
      </c>
      <c r="I26" s="42"/>
      <c r="J26" s="49" t="str">
        <f t="shared" si="4"/>
        <v>2 jam</v>
      </c>
      <c r="K26" s="48" t="s">
        <v>174</v>
      </c>
      <c r="L26" s="50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"/>
      <c r="C27" s="88">
        <f t="shared" si="3"/>
        <v>14</v>
      </c>
      <c r="D27" s="45" t="s">
        <v>22</v>
      </c>
      <c r="E27" s="30">
        <v>1.8572610005E10</v>
      </c>
      <c r="F27" s="40">
        <v>46261.0</v>
      </c>
      <c r="G27" s="39">
        <v>0.6666666666666666</v>
      </c>
      <c r="H27" s="39">
        <v>0.75</v>
      </c>
      <c r="I27" s="42"/>
      <c r="J27" s="49" t="str">
        <f t="shared" si="4"/>
        <v>2 jam</v>
      </c>
      <c r="K27" s="48" t="s">
        <v>175</v>
      </c>
      <c r="L27" s="50"/>
      <c r="M27" s="6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"/>
      <c r="C28" s="88">
        <f t="shared" si="3"/>
        <v>15</v>
      </c>
      <c r="D28" s="34" t="s">
        <v>21</v>
      </c>
      <c r="E28" s="31">
        <v>1.8572610003E10</v>
      </c>
      <c r="F28" s="36">
        <v>46262.0</v>
      </c>
      <c r="G28" s="39">
        <v>0.6666666666666666</v>
      </c>
      <c r="H28" s="39">
        <v>0.7083333333333334</v>
      </c>
      <c r="I28" s="42"/>
      <c r="J28" s="49" t="str">
        <f t="shared" si="4"/>
        <v>1 jam</v>
      </c>
      <c r="K28" s="48" t="s">
        <v>174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/>
      <c r="C29" s="88">
        <f t="shared" si="3"/>
        <v>16</v>
      </c>
      <c r="D29" s="45" t="s">
        <v>22</v>
      </c>
      <c r="E29" s="30">
        <v>1.8572610005E10</v>
      </c>
      <c r="F29" s="36">
        <v>46262.0</v>
      </c>
      <c r="G29" s="39">
        <v>0.6666666666666666</v>
      </c>
      <c r="H29" s="39">
        <v>0.7083333333333334</v>
      </c>
      <c r="I29" s="42"/>
      <c r="J29" s="49" t="str">
        <f t="shared" si="4"/>
        <v>1 jam</v>
      </c>
      <c r="K29" s="48" t="s">
        <v>176</v>
      </c>
      <c r="L29" s="50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6"/>
      <c r="C30" s="86">
        <f t="shared" si="3"/>
        <v>17</v>
      </c>
      <c r="D30" s="33" t="s">
        <v>20</v>
      </c>
      <c r="E30" s="37">
        <v>1.8572610006E10</v>
      </c>
      <c r="F30" s="36">
        <v>46262.0</v>
      </c>
      <c r="G30" s="38">
        <v>0.6666666666666666</v>
      </c>
      <c r="H30" s="55">
        <v>0.7083333333333334</v>
      </c>
      <c r="I30" s="79"/>
      <c r="J30" s="38" t="str">
        <f t="shared" si="4"/>
        <v>1 jam</v>
      </c>
      <c r="K30" s="48" t="s">
        <v>177</v>
      </c>
      <c r="L30" s="65"/>
      <c r="M30" s="6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61"/>
      <c r="B31" s="62"/>
      <c r="C31" s="93">
        <f t="shared" si="3"/>
        <v>18</v>
      </c>
      <c r="D31" s="94" t="s">
        <v>20</v>
      </c>
      <c r="E31" s="93">
        <v>1.8572610006E10</v>
      </c>
      <c r="F31" s="47">
        <v>46263.0</v>
      </c>
      <c r="G31" s="43">
        <v>0.5833333333333334</v>
      </c>
      <c r="H31" s="43">
        <v>0.625</v>
      </c>
      <c r="I31" s="95"/>
      <c r="J31" s="38" t="s">
        <v>25</v>
      </c>
      <c r="K31" s="48" t="s">
        <v>178</v>
      </c>
      <c r="L31" s="65"/>
      <c r="M31" s="66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1"/>
      <c r="B32" s="6"/>
      <c r="C32" s="88">
        <f t="shared" si="3"/>
        <v>19</v>
      </c>
      <c r="D32" s="34" t="s">
        <v>21</v>
      </c>
      <c r="E32" s="31">
        <v>1.8572610003E10</v>
      </c>
      <c r="F32" s="36">
        <v>46263.0</v>
      </c>
      <c r="G32" s="43">
        <v>0.5833333333333334</v>
      </c>
      <c r="H32" s="39">
        <v>0.6666666666666666</v>
      </c>
      <c r="I32" s="42"/>
      <c r="J32" s="49" t="str">
        <f t="shared" ref="J32:J33" si="5">INT((H32-G32)*24) &amp; " jam"</f>
        <v>2 jam</v>
      </c>
      <c r="K32" s="48" t="s">
        <v>179</v>
      </c>
      <c r="L32" s="50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"/>
      <c r="B33" s="81"/>
      <c r="C33" s="88">
        <f t="shared" si="3"/>
        <v>20</v>
      </c>
      <c r="D33" s="34" t="s">
        <v>22</v>
      </c>
      <c r="E33" s="31">
        <v>1.8572610005E10</v>
      </c>
      <c r="F33" s="36">
        <v>46263.0</v>
      </c>
      <c r="G33" s="39">
        <v>0.5833333333333334</v>
      </c>
      <c r="H33" s="39">
        <v>0.7916666666666666</v>
      </c>
      <c r="I33" s="42"/>
      <c r="J33" s="49" t="str">
        <f t="shared" si="5"/>
        <v>5 jam</v>
      </c>
      <c r="K33" s="52" t="s">
        <v>180</v>
      </c>
      <c r="L33" s="82"/>
      <c r="M33" s="8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6"/>
      <c r="C34" s="76" t="s">
        <v>63</v>
      </c>
      <c r="E34" s="61"/>
      <c r="F34" s="61"/>
      <c r="H34" s="61"/>
      <c r="J34" s="61"/>
      <c r="K34" s="76" t="s">
        <v>64</v>
      </c>
      <c r="L34" s="6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"/>
      <c r="C42" s="71" t="s">
        <v>73</v>
      </c>
      <c r="E42" s="1"/>
      <c r="F42" s="1"/>
      <c r="G42" s="1"/>
      <c r="H42" s="1"/>
      <c r="I42" s="1"/>
      <c r="J42" s="1"/>
      <c r="K42" s="71"/>
      <c r="L42" s="1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6"/>
      <c r="C43" s="72" t="s">
        <v>77</v>
      </c>
      <c r="E43" s="1"/>
      <c r="F43" s="1"/>
      <c r="H43" s="68"/>
      <c r="J43" s="1"/>
      <c r="K43" s="71" t="s">
        <v>78</v>
      </c>
      <c r="L43" s="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96" t="s">
        <v>181</v>
      </c>
      <c r="E47" s="97" t="s">
        <v>182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7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3:G43"/>
    <mergeCell ref="H43:I43"/>
    <mergeCell ref="D11:D12"/>
    <mergeCell ref="E11:E12"/>
    <mergeCell ref="C34:D34"/>
    <mergeCell ref="F34:G34"/>
    <mergeCell ref="H34:I34"/>
    <mergeCell ref="C42:D42"/>
    <mergeCell ref="C43:D43"/>
  </mergeCells>
  <dataValidations>
    <dataValidation type="list" allowBlank="1" showErrorMessage="1" sqref="D13:D33">
      <formula1>"INDA MUTMAINNA,ANUGRAH NUR AULIANI,FIRJIANTO GERALD MANDORO,ZA'IM FATHURRAHMAN ILHAM"</formula1>
    </dataValidation>
    <dataValidation type="list" allowBlank="1" showErrorMessage="1" sqref="E13:E33">
      <formula1>"18572610006,18572610005,18572610004,18572610003"</formula1>
    </dataValidation>
  </dataValidations>
  <hyperlinks>
    <hyperlink r:id="rId1" location="gid=0" ref="E47"/>
  </hyperlink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183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89">
        <v>1.0</v>
      </c>
      <c r="D13" s="34" t="s">
        <v>21</v>
      </c>
      <c r="E13" s="31">
        <v>1.8572610003E10</v>
      </c>
      <c r="F13" s="36">
        <v>46265.0</v>
      </c>
      <c r="G13" s="43">
        <v>0.6666666666666666</v>
      </c>
      <c r="H13" s="39">
        <v>0.875</v>
      </c>
      <c r="I13" s="42"/>
      <c r="J13" s="49" t="str">
        <f t="shared" ref="J13:J26" si="1">INT((H13-G13)*24) &amp; " jam"</f>
        <v>5 jam</v>
      </c>
      <c r="K13" s="48" t="s">
        <v>114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6"/>
      <c r="C14" s="89">
        <f t="shared" ref="C14:C30" si="2">C13+1</f>
        <v>2</v>
      </c>
      <c r="D14" s="34" t="s">
        <v>20</v>
      </c>
      <c r="E14" s="31">
        <v>1.8572610006E10</v>
      </c>
      <c r="F14" s="36">
        <v>46265.0</v>
      </c>
      <c r="G14" s="43">
        <v>0.6666666666666666</v>
      </c>
      <c r="H14" s="39">
        <v>0.7916666666666666</v>
      </c>
      <c r="I14" s="42"/>
      <c r="J14" s="49" t="str">
        <f t="shared" si="1"/>
        <v>3 jam</v>
      </c>
      <c r="K14" s="48" t="s">
        <v>184</v>
      </c>
      <c r="L14" s="50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/>
      <c r="C15" s="89">
        <f t="shared" si="2"/>
        <v>3</v>
      </c>
      <c r="D15" s="34" t="s">
        <v>22</v>
      </c>
      <c r="E15" s="31">
        <v>1.8572610005E10</v>
      </c>
      <c r="F15" s="36">
        <v>46265.0</v>
      </c>
      <c r="G15" s="43">
        <v>0.6666666666666666</v>
      </c>
      <c r="H15" s="39">
        <v>0.7916666666666666</v>
      </c>
      <c r="I15" s="42"/>
      <c r="J15" s="49" t="str">
        <f t="shared" si="1"/>
        <v>3 jam</v>
      </c>
      <c r="K15" s="48" t="s">
        <v>185</v>
      </c>
      <c r="L15" s="50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1"/>
      <c r="B16" s="62"/>
      <c r="C16" s="88">
        <f t="shared" si="2"/>
        <v>4</v>
      </c>
      <c r="D16" s="32" t="s">
        <v>23</v>
      </c>
      <c r="E16" s="53">
        <v>1.8572610004E10</v>
      </c>
      <c r="F16" s="40">
        <v>46265.0</v>
      </c>
      <c r="G16" s="39">
        <v>0.6666666666666666</v>
      </c>
      <c r="H16" s="39">
        <v>0.875</v>
      </c>
      <c r="I16" s="79"/>
      <c r="J16" s="38" t="str">
        <f t="shared" si="1"/>
        <v>5 jam</v>
      </c>
      <c r="K16" s="48" t="s">
        <v>114</v>
      </c>
      <c r="L16" s="65"/>
      <c r="M16" s="66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1"/>
      <c r="B17" s="6"/>
      <c r="C17" s="89">
        <f t="shared" si="2"/>
        <v>5</v>
      </c>
      <c r="D17" s="34" t="s">
        <v>21</v>
      </c>
      <c r="E17" s="31">
        <v>1.8572610003E10</v>
      </c>
      <c r="F17" s="36">
        <v>46266.0</v>
      </c>
      <c r="G17" s="43">
        <v>0.6666666666666666</v>
      </c>
      <c r="H17" s="39">
        <v>0.75</v>
      </c>
      <c r="I17" s="42"/>
      <c r="J17" s="49" t="str">
        <f t="shared" si="1"/>
        <v>2 jam</v>
      </c>
      <c r="K17" s="48" t="s">
        <v>186</v>
      </c>
      <c r="L17" s="50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1"/>
      <c r="B18" s="62"/>
      <c r="C18" s="88">
        <f t="shared" si="2"/>
        <v>6</v>
      </c>
      <c r="D18" s="32" t="s">
        <v>23</v>
      </c>
      <c r="E18" s="53">
        <v>1.8572610004E10</v>
      </c>
      <c r="F18" s="36">
        <v>46266.0</v>
      </c>
      <c r="G18" s="39">
        <v>0.6666666666666666</v>
      </c>
      <c r="H18" s="39">
        <v>0.75</v>
      </c>
      <c r="I18" s="79"/>
      <c r="J18" s="38" t="str">
        <f t="shared" si="1"/>
        <v>2 jam</v>
      </c>
      <c r="K18" s="48" t="s">
        <v>94</v>
      </c>
      <c r="L18" s="65"/>
      <c r="M18" s="66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61"/>
      <c r="B19" s="62"/>
      <c r="C19" s="89">
        <f t="shared" si="2"/>
        <v>7</v>
      </c>
      <c r="D19" s="34" t="s">
        <v>22</v>
      </c>
      <c r="E19" s="31">
        <v>1.8572610005E10</v>
      </c>
      <c r="F19" s="36">
        <v>46266.0</v>
      </c>
      <c r="G19" s="43">
        <v>0.6666666666666666</v>
      </c>
      <c r="H19" s="39">
        <v>0.75</v>
      </c>
      <c r="I19" s="42"/>
      <c r="J19" s="49" t="str">
        <f t="shared" si="1"/>
        <v>2 jam</v>
      </c>
      <c r="K19" s="48" t="s">
        <v>187</v>
      </c>
      <c r="L19" s="50"/>
      <c r="M19" s="1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1"/>
      <c r="B20" s="62"/>
      <c r="C20" s="89">
        <f t="shared" si="2"/>
        <v>8</v>
      </c>
      <c r="D20" s="34" t="s">
        <v>20</v>
      </c>
      <c r="E20" s="31">
        <v>1.8572610006E10</v>
      </c>
      <c r="F20" s="36">
        <v>46266.0</v>
      </c>
      <c r="G20" s="43">
        <v>0.6666666666666666</v>
      </c>
      <c r="H20" s="39">
        <v>0.7083333333333334</v>
      </c>
      <c r="I20" s="42"/>
      <c r="J20" s="49" t="str">
        <f t="shared" si="1"/>
        <v>1 jam</v>
      </c>
      <c r="K20" s="48" t="s">
        <v>188</v>
      </c>
      <c r="L20" s="50"/>
      <c r="M20" s="1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2"/>
      <c r="C21" s="88">
        <f t="shared" si="2"/>
        <v>9</v>
      </c>
      <c r="D21" s="32" t="s">
        <v>23</v>
      </c>
      <c r="E21" s="53">
        <v>1.8572610004E10</v>
      </c>
      <c r="F21" s="36">
        <v>46267.0</v>
      </c>
      <c r="G21" s="39">
        <v>0.6666666666666666</v>
      </c>
      <c r="H21" s="39">
        <v>0.7083333333333334</v>
      </c>
      <c r="I21" s="79"/>
      <c r="J21" s="38" t="str">
        <f t="shared" si="1"/>
        <v>1 jam</v>
      </c>
      <c r="K21" s="48" t="s">
        <v>94</v>
      </c>
      <c r="L21" s="65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1"/>
      <c r="B22" s="6"/>
      <c r="C22" s="89">
        <f t="shared" si="2"/>
        <v>10</v>
      </c>
      <c r="D22" s="34" t="s">
        <v>21</v>
      </c>
      <c r="E22" s="31">
        <v>1.8572610003E10</v>
      </c>
      <c r="F22" s="36">
        <v>46267.0</v>
      </c>
      <c r="G22" s="43">
        <v>0.6666666666666666</v>
      </c>
      <c r="H22" s="39">
        <v>0.8333333333333334</v>
      </c>
      <c r="I22" s="42"/>
      <c r="J22" s="49" t="str">
        <f t="shared" si="1"/>
        <v>4 jam</v>
      </c>
      <c r="K22" s="48" t="s">
        <v>189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6"/>
      <c r="C23" s="89">
        <f t="shared" si="2"/>
        <v>11</v>
      </c>
      <c r="D23" s="34" t="s">
        <v>21</v>
      </c>
      <c r="E23" s="31">
        <v>1.8572610003E10</v>
      </c>
      <c r="F23" s="36">
        <v>46268.0</v>
      </c>
      <c r="G23" s="43">
        <v>0.6666666666666666</v>
      </c>
      <c r="H23" s="39">
        <v>0.7083333333333334</v>
      </c>
      <c r="I23" s="42"/>
      <c r="J23" s="49" t="str">
        <f t="shared" si="1"/>
        <v>1 jam</v>
      </c>
      <c r="K23" s="48" t="s">
        <v>190</v>
      </c>
      <c r="L23" s="50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6"/>
      <c r="C24" s="89">
        <f t="shared" si="2"/>
        <v>12</v>
      </c>
      <c r="D24" s="34" t="s">
        <v>20</v>
      </c>
      <c r="E24" s="31">
        <v>1.8572610006E10</v>
      </c>
      <c r="F24" s="36">
        <v>46268.0</v>
      </c>
      <c r="G24" s="43">
        <v>0.6666666666666666</v>
      </c>
      <c r="H24" s="39">
        <v>0.7083333333333334</v>
      </c>
      <c r="I24" s="42"/>
      <c r="J24" s="49" t="str">
        <f t="shared" si="1"/>
        <v>1 jam</v>
      </c>
      <c r="K24" s="48" t="s">
        <v>191</v>
      </c>
      <c r="L24" s="50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61"/>
      <c r="B25" s="62"/>
      <c r="C25" s="89">
        <f t="shared" si="2"/>
        <v>13</v>
      </c>
      <c r="D25" s="32" t="s">
        <v>23</v>
      </c>
      <c r="E25" s="53">
        <v>1.8572610004E10</v>
      </c>
      <c r="F25" s="36">
        <v>46268.0</v>
      </c>
      <c r="G25" s="39">
        <v>0.6666666666666666</v>
      </c>
      <c r="H25" s="39">
        <v>0.75</v>
      </c>
      <c r="I25" s="79"/>
      <c r="J25" s="38" t="str">
        <f t="shared" si="1"/>
        <v>2 jam</v>
      </c>
      <c r="K25" s="48" t="s">
        <v>94</v>
      </c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1"/>
      <c r="B26" s="62"/>
      <c r="C26" s="89">
        <f t="shared" si="2"/>
        <v>14</v>
      </c>
      <c r="D26" s="32" t="s">
        <v>23</v>
      </c>
      <c r="E26" s="53">
        <v>1.8572610004E10</v>
      </c>
      <c r="F26" s="36">
        <v>46269.0</v>
      </c>
      <c r="G26" s="39">
        <v>0.6666666666666666</v>
      </c>
      <c r="H26" s="39">
        <v>0.7083333333333334</v>
      </c>
      <c r="I26" s="79"/>
      <c r="J26" s="38" t="str">
        <f t="shared" si="1"/>
        <v>1 jam</v>
      </c>
      <c r="K26" s="48" t="s">
        <v>192</v>
      </c>
      <c r="L26" s="65"/>
      <c r="M26" s="66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1"/>
      <c r="B27" s="62"/>
      <c r="C27" s="89">
        <f t="shared" si="2"/>
        <v>15</v>
      </c>
      <c r="D27" s="45" t="s">
        <v>20</v>
      </c>
      <c r="E27" s="30">
        <v>1.8572610006E10</v>
      </c>
      <c r="F27" s="36">
        <v>46270.0</v>
      </c>
      <c r="G27" s="39">
        <v>0.5833333333333334</v>
      </c>
      <c r="H27" s="39">
        <v>0.625</v>
      </c>
      <c r="I27" s="79"/>
      <c r="J27" s="38" t="s">
        <v>25</v>
      </c>
      <c r="K27" s="48" t="s">
        <v>193</v>
      </c>
      <c r="L27" s="65"/>
      <c r="M27" s="6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1"/>
      <c r="B28" s="6"/>
      <c r="C28" s="89">
        <f t="shared" si="2"/>
        <v>16</v>
      </c>
      <c r="D28" s="34" t="s">
        <v>21</v>
      </c>
      <c r="E28" s="31">
        <v>1.8572610003E10</v>
      </c>
      <c r="F28" s="36">
        <v>46270.0</v>
      </c>
      <c r="G28" s="39">
        <v>0.5833333333333334</v>
      </c>
      <c r="H28" s="39">
        <v>0.625</v>
      </c>
      <c r="I28" s="79"/>
      <c r="J28" s="38" t="s">
        <v>25</v>
      </c>
      <c r="K28" s="48" t="s">
        <v>194</v>
      </c>
      <c r="L28" s="50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/>
      <c r="C29" s="89">
        <f t="shared" si="2"/>
        <v>17</v>
      </c>
      <c r="D29" s="34" t="s">
        <v>22</v>
      </c>
      <c r="E29" s="31">
        <v>1.8572610005E10</v>
      </c>
      <c r="F29" s="36">
        <v>46270.0</v>
      </c>
      <c r="G29" s="39">
        <v>0.5833333333333334</v>
      </c>
      <c r="H29" s="39">
        <v>0.6666666666666666</v>
      </c>
      <c r="I29" s="42"/>
      <c r="J29" s="49" t="str">
        <f t="shared" ref="J29:J30" si="3">INT((H29-G29)*24) &amp; " jam"</f>
        <v>2 jam</v>
      </c>
      <c r="K29" s="48" t="s">
        <v>195</v>
      </c>
      <c r="L29" s="50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61"/>
      <c r="B30" s="62"/>
      <c r="C30" s="89">
        <f t="shared" si="2"/>
        <v>18</v>
      </c>
      <c r="D30" s="32" t="s">
        <v>23</v>
      </c>
      <c r="E30" s="53">
        <v>1.8572610004E10</v>
      </c>
      <c r="F30" s="36">
        <v>46270.0</v>
      </c>
      <c r="G30" s="39">
        <v>0.5833333333333334</v>
      </c>
      <c r="H30" s="39">
        <v>0.6666666666666666</v>
      </c>
      <c r="I30" s="79"/>
      <c r="J30" s="38" t="str">
        <f t="shared" si="3"/>
        <v>2 jam</v>
      </c>
      <c r="K30" s="48" t="s">
        <v>192</v>
      </c>
      <c r="L30" s="65"/>
      <c r="M30" s="66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1"/>
      <c r="B31" s="6"/>
      <c r="C31" s="76"/>
      <c r="D31" s="76"/>
      <c r="E31" s="61"/>
      <c r="F31" s="61"/>
      <c r="G31" s="61"/>
      <c r="H31" s="61"/>
      <c r="I31" s="61"/>
      <c r="J31" s="61"/>
      <c r="K31" s="76"/>
      <c r="L31" s="6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76" t="s">
        <v>63</v>
      </c>
      <c r="E32" s="61"/>
      <c r="F32" s="61"/>
      <c r="H32" s="61"/>
      <c r="J32" s="61"/>
      <c r="K32" s="76" t="s">
        <v>64</v>
      </c>
      <c r="L32" s="6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71" t="s">
        <v>73</v>
      </c>
      <c r="E40" s="1"/>
      <c r="F40" s="1"/>
      <c r="G40" s="1"/>
      <c r="H40" s="1"/>
      <c r="I40" s="1"/>
      <c r="J40" s="1"/>
      <c r="K40" s="71"/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72" t="s">
        <v>77</v>
      </c>
      <c r="E41" s="1"/>
      <c r="F41" s="1"/>
      <c r="H41" s="68"/>
      <c r="J41" s="1"/>
      <c r="K41" s="71" t="s">
        <v>78</v>
      </c>
      <c r="L41" s="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96" t="s">
        <v>181</v>
      </c>
      <c r="E45" s="97" t="s">
        <v>182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7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1:G41"/>
    <mergeCell ref="H41:I41"/>
    <mergeCell ref="D11:D12"/>
    <mergeCell ref="E11:E12"/>
    <mergeCell ref="C32:D32"/>
    <mergeCell ref="F32:G32"/>
    <mergeCell ref="H32:I32"/>
    <mergeCell ref="C40:D40"/>
    <mergeCell ref="C41:D41"/>
  </mergeCells>
  <dataValidations>
    <dataValidation type="list" allowBlank="1" showErrorMessage="1" sqref="D13:D30">
      <formula1>"INDA MUTMAINNA,ANUGRAH NUR AULIANI,FIRJIANTO GERALD MANDORO,ZA'IM FATHURRAHMAN ILHAM"</formula1>
    </dataValidation>
    <dataValidation type="list" allowBlank="1" showErrorMessage="1" sqref="E13:E30">
      <formula1>"18572610006,18572610005,18572610004,18572610003"</formula1>
    </dataValidation>
  </dataValidations>
  <hyperlinks>
    <hyperlink r:id="rId1" location="gid=0" ref="E45"/>
  </hyperlinks>
  <printOptions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3" max="3" width="8.5"/>
    <col customWidth="1" min="4" max="4" width="50.38"/>
    <col customWidth="1" min="5" max="5" width="29.25"/>
    <col customWidth="1" min="6" max="6" width="15.38"/>
    <col customWidth="1" min="8" max="8" width="15.25"/>
    <col customWidth="1" min="9" max="9" width="15.88"/>
    <col customWidth="1" min="10" max="10" width="15.38"/>
    <col customWidth="1" min="11" max="11" width="110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6"/>
      <c r="C3" s="7" t="s">
        <v>0</v>
      </c>
      <c r="D3" s="8"/>
      <c r="E3" s="8"/>
      <c r="F3" s="8"/>
      <c r="G3" s="8"/>
      <c r="H3" s="8"/>
      <c r="I3" s="8"/>
      <c r="J3" s="8"/>
      <c r="K3" s="9"/>
      <c r="L3" s="10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/>
      <c r="C4" s="12"/>
      <c r="D4" s="1"/>
      <c r="E4" s="1"/>
      <c r="F4" s="1"/>
      <c r="G4" s="1"/>
      <c r="H4" s="1"/>
      <c r="I4" s="1"/>
      <c r="J4" s="1"/>
      <c r="K4" s="1"/>
      <c r="L4" s="1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8.75" customHeight="1">
      <c r="A5" s="1"/>
      <c r="B5" s="6"/>
      <c r="C5" s="14" t="s">
        <v>196</v>
      </c>
      <c r="D5" s="15"/>
      <c r="E5" s="15"/>
      <c r="F5" s="16"/>
      <c r="G5" s="1"/>
      <c r="H5" s="1"/>
      <c r="I5" s="1"/>
      <c r="J5" s="1"/>
      <c r="K5" s="17" t="s">
        <v>5</v>
      </c>
      <c r="L5" s="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"/>
      <c r="C6" s="18" t="s">
        <v>6</v>
      </c>
      <c r="D6" s="19"/>
      <c r="E6" s="19"/>
      <c r="F6" s="20"/>
      <c r="G6" s="1"/>
      <c r="H6" s="1"/>
      <c r="I6" s="1"/>
      <c r="J6" s="1"/>
      <c r="K6" s="21"/>
      <c r="L6" s="1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/>
      <c r="C7" s="18" t="s">
        <v>7</v>
      </c>
      <c r="D7" s="19"/>
      <c r="E7" s="19"/>
      <c r="F7" s="20"/>
      <c r="G7" s="1"/>
      <c r="H7" s="1"/>
      <c r="I7" s="1"/>
      <c r="J7" s="1"/>
      <c r="K7" s="21"/>
      <c r="L7" s="1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18" t="s">
        <v>8</v>
      </c>
      <c r="D8" s="19"/>
      <c r="E8" s="19"/>
      <c r="F8" s="20"/>
      <c r="G8" s="1"/>
      <c r="H8" s="1"/>
      <c r="I8" s="1"/>
      <c r="J8" s="1"/>
      <c r="K8" s="21"/>
      <c r="L8" s="1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/>
      <c r="C9" s="22"/>
      <c r="D9" s="19"/>
      <c r="E9" s="19"/>
      <c r="F9" s="20"/>
      <c r="G9" s="1"/>
      <c r="H9" s="1"/>
      <c r="I9" s="1"/>
      <c r="J9" s="1"/>
      <c r="K9" s="23"/>
      <c r="L9" s="1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/>
      <c r="C10" s="12"/>
      <c r="D10" s="1"/>
      <c r="E10" s="1"/>
      <c r="F10" s="1"/>
      <c r="G10" s="1"/>
      <c r="H10" s="1"/>
      <c r="I10" s="1"/>
      <c r="J10" s="1"/>
      <c r="K10" s="1"/>
      <c r="L10" s="1"/>
      <c r="M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24" t="s">
        <v>9</v>
      </c>
      <c r="D11" s="24" t="s">
        <v>10</v>
      </c>
      <c r="E11" s="24" t="s">
        <v>11</v>
      </c>
      <c r="F11" s="24" t="s">
        <v>12</v>
      </c>
      <c r="G11" s="25" t="s">
        <v>13</v>
      </c>
      <c r="H11" s="26"/>
      <c r="I11" s="24" t="s">
        <v>14</v>
      </c>
      <c r="J11" s="24" t="s">
        <v>15</v>
      </c>
      <c r="K11" s="24" t="s">
        <v>16</v>
      </c>
      <c r="L11" s="27" t="s">
        <v>17</v>
      </c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1.25" customHeight="1">
      <c r="A12" s="1"/>
      <c r="B12" s="6"/>
      <c r="C12" s="28"/>
      <c r="D12" s="28"/>
      <c r="E12" s="28"/>
      <c r="F12" s="28"/>
      <c r="G12" s="29" t="s">
        <v>18</v>
      </c>
      <c r="H12" s="29" t="s">
        <v>19</v>
      </c>
      <c r="I12" s="28"/>
      <c r="J12" s="28"/>
      <c r="K12" s="28"/>
      <c r="L12" s="28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"/>
      <c r="C13" s="89">
        <v>1.0</v>
      </c>
      <c r="D13" s="34" t="s">
        <v>21</v>
      </c>
      <c r="E13" s="31">
        <v>1.8572610003E10</v>
      </c>
      <c r="F13" s="36">
        <v>46272.0</v>
      </c>
      <c r="G13" s="39">
        <v>0.6666666666666666</v>
      </c>
      <c r="H13" s="39">
        <v>0.75</v>
      </c>
      <c r="I13" s="79"/>
      <c r="J13" s="38" t="str">
        <f t="shared" ref="J13:J28" si="1">INT((H13-G13)*24) &amp; " jam"</f>
        <v>2 jam</v>
      </c>
      <c r="K13" s="48" t="s">
        <v>197</v>
      </c>
      <c r="L13" s="50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61"/>
      <c r="B14" s="62"/>
      <c r="C14" s="89">
        <f t="shared" ref="C14:C28" si="2">C13+1</f>
        <v>2</v>
      </c>
      <c r="D14" s="32" t="s">
        <v>23</v>
      </c>
      <c r="E14" s="53">
        <v>1.8572610004E10</v>
      </c>
      <c r="F14" s="36">
        <v>46272.0</v>
      </c>
      <c r="G14" s="39">
        <v>0.6666666666666666</v>
      </c>
      <c r="H14" s="39">
        <v>0.7916666666666666</v>
      </c>
      <c r="I14" s="79"/>
      <c r="J14" s="38" t="str">
        <f t="shared" si="1"/>
        <v>3 jam</v>
      </c>
      <c r="K14" s="48" t="s">
        <v>198</v>
      </c>
      <c r="L14" s="65"/>
      <c r="M14" s="66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61"/>
      <c r="B15" s="62"/>
      <c r="C15" s="89">
        <f t="shared" si="2"/>
        <v>3</v>
      </c>
      <c r="D15" s="45" t="s">
        <v>21</v>
      </c>
      <c r="E15" s="30">
        <v>1.8572610003E10</v>
      </c>
      <c r="F15" s="36">
        <v>46273.0</v>
      </c>
      <c r="G15" s="39">
        <v>0.6666666666666666</v>
      </c>
      <c r="H15" s="39">
        <v>0.7083333333333334</v>
      </c>
      <c r="I15" s="79"/>
      <c r="J15" s="38" t="str">
        <f t="shared" si="1"/>
        <v>1 jam</v>
      </c>
      <c r="K15" s="48" t="s">
        <v>199</v>
      </c>
      <c r="L15" s="65"/>
      <c r="M15" s="66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61"/>
      <c r="B16" s="62"/>
      <c r="C16" s="89">
        <f t="shared" si="2"/>
        <v>4</v>
      </c>
      <c r="D16" s="34" t="s">
        <v>22</v>
      </c>
      <c r="E16" s="31">
        <v>1.8572610005E10</v>
      </c>
      <c r="F16" s="36">
        <v>46273.0</v>
      </c>
      <c r="G16" s="39">
        <v>0.6666666666666666</v>
      </c>
      <c r="H16" s="39">
        <v>0.7083333333333334</v>
      </c>
      <c r="I16" s="42"/>
      <c r="J16" s="49" t="str">
        <f t="shared" si="1"/>
        <v>1 jam</v>
      </c>
      <c r="K16" s="48" t="s">
        <v>200</v>
      </c>
      <c r="L16" s="50"/>
      <c r="M16" s="66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61"/>
      <c r="B17" s="62"/>
      <c r="C17" s="89">
        <f t="shared" si="2"/>
        <v>5</v>
      </c>
      <c r="D17" s="32" t="s">
        <v>23</v>
      </c>
      <c r="E17" s="53">
        <v>1.8572610004E10</v>
      </c>
      <c r="F17" s="36">
        <v>46273.0</v>
      </c>
      <c r="G17" s="39">
        <v>0.6666666666666666</v>
      </c>
      <c r="H17" s="39">
        <v>0.75</v>
      </c>
      <c r="I17" s="79"/>
      <c r="J17" s="38" t="str">
        <f t="shared" si="1"/>
        <v>2 jam</v>
      </c>
      <c r="K17" s="48" t="s">
        <v>201</v>
      </c>
      <c r="L17" s="65"/>
      <c r="M17" s="66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1"/>
      <c r="B18" s="6"/>
      <c r="C18" s="89">
        <f t="shared" si="2"/>
        <v>6</v>
      </c>
      <c r="D18" s="34" t="s">
        <v>21</v>
      </c>
      <c r="E18" s="31">
        <v>1.8572610003E10</v>
      </c>
      <c r="F18" s="36">
        <v>46274.0</v>
      </c>
      <c r="G18" s="39">
        <v>0.6666666666666666</v>
      </c>
      <c r="H18" s="39">
        <v>0.7916666666666666</v>
      </c>
      <c r="I18" s="79"/>
      <c r="J18" s="38" t="str">
        <f t="shared" si="1"/>
        <v>3 jam</v>
      </c>
      <c r="K18" s="48" t="s">
        <v>202</v>
      </c>
      <c r="L18" s="50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6"/>
      <c r="C19" s="89">
        <f t="shared" si="2"/>
        <v>7</v>
      </c>
      <c r="D19" s="34" t="s">
        <v>22</v>
      </c>
      <c r="E19" s="31">
        <v>1.8572610005E10</v>
      </c>
      <c r="F19" s="36">
        <v>46274.0</v>
      </c>
      <c r="G19" s="39">
        <v>0.6666666666666666</v>
      </c>
      <c r="H19" s="39">
        <v>0.7916666666666666</v>
      </c>
      <c r="I19" s="42"/>
      <c r="J19" s="49" t="str">
        <f t="shared" si="1"/>
        <v>3 jam</v>
      </c>
      <c r="K19" s="48" t="s">
        <v>203</v>
      </c>
      <c r="L19" s="50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1"/>
      <c r="B20" s="62"/>
      <c r="C20" s="86">
        <f t="shared" si="2"/>
        <v>8</v>
      </c>
      <c r="D20" s="45" t="s">
        <v>20</v>
      </c>
      <c r="E20" s="30">
        <v>1.8572610006E10</v>
      </c>
      <c r="F20" s="47">
        <v>46274.0</v>
      </c>
      <c r="G20" s="38">
        <v>0.6666666666666666</v>
      </c>
      <c r="H20" s="59">
        <v>0.75</v>
      </c>
      <c r="I20" s="79"/>
      <c r="J20" s="38" t="str">
        <f t="shared" si="1"/>
        <v>2 jam</v>
      </c>
      <c r="K20" s="48" t="s">
        <v>204</v>
      </c>
      <c r="L20" s="65"/>
      <c r="M20" s="66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1"/>
      <c r="B21" s="62"/>
      <c r="C21" s="86">
        <f t="shared" si="2"/>
        <v>9</v>
      </c>
      <c r="D21" s="45" t="s">
        <v>20</v>
      </c>
      <c r="E21" s="30">
        <v>1.8572610006E10</v>
      </c>
      <c r="F21" s="47">
        <v>46275.0</v>
      </c>
      <c r="G21" s="38">
        <v>0.6666666666666666</v>
      </c>
      <c r="H21" s="59">
        <v>0.7083333333333334</v>
      </c>
      <c r="I21" s="79"/>
      <c r="J21" s="38" t="str">
        <f t="shared" si="1"/>
        <v>1 jam</v>
      </c>
      <c r="K21" s="48" t="s">
        <v>205</v>
      </c>
      <c r="L21" s="65"/>
      <c r="M21" s="66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1"/>
      <c r="B22" s="6"/>
      <c r="C22" s="89">
        <f t="shared" si="2"/>
        <v>10</v>
      </c>
      <c r="D22" s="34" t="s">
        <v>21</v>
      </c>
      <c r="E22" s="31">
        <v>1.8572610003E10</v>
      </c>
      <c r="F22" s="36">
        <v>46275.0</v>
      </c>
      <c r="G22" s="39">
        <v>0.6666666666666666</v>
      </c>
      <c r="H22" s="39">
        <v>0.7083333333333334</v>
      </c>
      <c r="I22" s="79"/>
      <c r="J22" s="38" t="str">
        <f t="shared" si="1"/>
        <v>1 jam</v>
      </c>
      <c r="K22" s="48" t="s">
        <v>206</v>
      </c>
      <c r="L22" s="50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61"/>
      <c r="B23" s="62"/>
      <c r="C23" s="89">
        <f t="shared" si="2"/>
        <v>11</v>
      </c>
      <c r="D23" s="32" t="s">
        <v>23</v>
      </c>
      <c r="E23" s="53">
        <v>1.8572610004E10</v>
      </c>
      <c r="F23" s="36">
        <v>46275.0</v>
      </c>
      <c r="G23" s="39">
        <v>0.6666666666666666</v>
      </c>
      <c r="H23" s="39">
        <v>0.7083333333333334</v>
      </c>
      <c r="I23" s="79"/>
      <c r="J23" s="38" t="str">
        <f t="shared" si="1"/>
        <v>1 jam</v>
      </c>
      <c r="K23" s="48" t="s">
        <v>94</v>
      </c>
      <c r="L23" s="65"/>
      <c r="M23" s="66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62"/>
      <c r="C24" s="53">
        <f t="shared" si="2"/>
        <v>12</v>
      </c>
      <c r="D24" s="32" t="s">
        <v>21</v>
      </c>
      <c r="E24" s="53">
        <v>1.8572610003E10</v>
      </c>
      <c r="F24" s="47">
        <v>46276.0</v>
      </c>
      <c r="G24" s="38">
        <v>0.6666666666666666</v>
      </c>
      <c r="H24" s="59">
        <v>0.8333333333333334</v>
      </c>
      <c r="I24" s="95"/>
      <c r="J24" s="55" t="str">
        <f t="shared" si="1"/>
        <v>4 jam</v>
      </c>
      <c r="K24" s="48" t="s">
        <v>207</v>
      </c>
      <c r="L24" s="65"/>
      <c r="M24" s="66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1"/>
      <c r="B25" s="62"/>
      <c r="C25" s="89">
        <f t="shared" si="2"/>
        <v>13</v>
      </c>
      <c r="D25" s="32" t="s">
        <v>23</v>
      </c>
      <c r="E25" s="53">
        <v>1.8572610004E10</v>
      </c>
      <c r="F25" s="36">
        <v>46276.0</v>
      </c>
      <c r="G25" s="39">
        <v>0.6666666666666666</v>
      </c>
      <c r="H25" s="39">
        <v>0.7083333333333334</v>
      </c>
      <c r="I25" s="79"/>
      <c r="J25" s="38" t="str">
        <f t="shared" si="1"/>
        <v>1 jam</v>
      </c>
      <c r="K25" s="48" t="s">
        <v>208</v>
      </c>
      <c r="L25" s="65"/>
      <c r="M25" s="66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1"/>
      <c r="B26" s="62"/>
      <c r="C26" s="53">
        <f t="shared" si="2"/>
        <v>14</v>
      </c>
      <c r="D26" s="32" t="s">
        <v>21</v>
      </c>
      <c r="E26" s="53">
        <v>1.8572610003E10</v>
      </c>
      <c r="F26" s="47">
        <v>46277.0</v>
      </c>
      <c r="G26" s="59">
        <v>0.5833333333333334</v>
      </c>
      <c r="H26" s="59">
        <v>0.7083333333333334</v>
      </c>
      <c r="I26" s="95"/>
      <c r="J26" s="55" t="str">
        <f t="shared" si="1"/>
        <v>3 jam</v>
      </c>
      <c r="K26" s="48" t="s">
        <v>209</v>
      </c>
      <c r="L26" s="65"/>
      <c r="M26" s="66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1"/>
      <c r="B27" s="62"/>
      <c r="C27" s="89">
        <f t="shared" si="2"/>
        <v>15</v>
      </c>
      <c r="D27" s="32" t="s">
        <v>23</v>
      </c>
      <c r="E27" s="53">
        <v>1.8572610004E10</v>
      </c>
      <c r="F27" s="47">
        <v>46277.0</v>
      </c>
      <c r="G27" s="59">
        <v>0.5833333333333334</v>
      </c>
      <c r="H27" s="39">
        <v>0.7083333333333334</v>
      </c>
      <c r="I27" s="79"/>
      <c r="J27" s="38" t="str">
        <f t="shared" si="1"/>
        <v>3 jam</v>
      </c>
      <c r="K27" s="48" t="s">
        <v>208</v>
      </c>
      <c r="L27" s="65"/>
      <c r="M27" s="6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1"/>
      <c r="B28" s="62"/>
      <c r="C28" s="53">
        <f t="shared" si="2"/>
        <v>16</v>
      </c>
      <c r="D28" s="32" t="s">
        <v>21</v>
      </c>
      <c r="E28" s="53">
        <v>1.8572610003E10</v>
      </c>
      <c r="F28" s="47">
        <v>46278.0</v>
      </c>
      <c r="G28" s="59">
        <v>0.4166666666666667</v>
      </c>
      <c r="H28" s="39">
        <v>0.625</v>
      </c>
      <c r="I28" s="95"/>
      <c r="J28" s="55" t="str">
        <f t="shared" si="1"/>
        <v>5 jam</v>
      </c>
      <c r="K28" s="48" t="s">
        <v>210</v>
      </c>
      <c r="L28" s="65"/>
      <c r="M28" s="66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1"/>
      <c r="B29" s="98">
        <v>1.0</v>
      </c>
      <c r="C29" s="30" t="s">
        <v>21</v>
      </c>
      <c r="D29" s="32"/>
      <c r="E29" s="53"/>
      <c r="F29" s="47"/>
      <c r="G29" s="59"/>
      <c r="H29" s="39"/>
      <c r="I29" s="95"/>
      <c r="J29" s="55"/>
      <c r="K29" s="48"/>
      <c r="L29" s="65"/>
      <c r="M29" s="66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1"/>
      <c r="B30" s="6"/>
      <c r="C30" s="76"/>
      <c r="D30" s="76"/>
      <c r="E30" s="61"/>
      <c r="F30" s="61"/>
      <c r="G30" s="61"/>
      <c r="H30" s="61"/>
      <c r="I30" s="61"/>
      <c r="J30" s="61"/>
      <c r="K30" s="76"/>
      <c r="L30" s="61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6"/>
      <c r="C31" s="76" t="s">
        <v>63</v>
      </c>
      <c r="E31" s="61"/>
      <c r="F31" s="61"/>
      <c r="H31" s="61"/>
      <c r="J31" s="61"/>
      <c r="K31" s="76" t="s">
        <v>64</v>
      </c>
      <c r="L31" s="6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6"/>
      <c r="C35" s="1"/>
      <c r="D35" s="1"/>
      <c r="E35" s="1"/>
      <c r="F35" s="1"/>
      <c r="G35" s="1"/>
      <c r="I35" s="1"/>
      <c r="J35" s="1"/>
      <c r="K35" s="1"/>
      <c r="L35" s="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"/>
      <c r="C39" s="71" t="s">
        <v>73</v>
      </c>
      <c r="E39" s="1"/>
      <c r="F39" s="1"/>
      <c r="G39" s="1"/>
      <c r="H39" s="1"/>
      <c r="I39" s="1"/>
      <c r="J39" s="1"/>
      <c r="K39" s="71"/>
      <c r="L39" s="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"/>
      <c r="C40" s="72" t="s">
        <v>77</v>
      </c>
      <c r="E40" s="1"/>
      <c r="F40" s="1"/>
      <c r="H40" s="68"/>
      <c r="J40" s="1"/>
      <c r="K40" s="71" t="s">
        <v>78</v>
      </c>
      <c r="L40" s="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96" t="s">
        <v>181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90" t="s">
        <v>21</v>
      </c>
      <c r="B45" s="1"/>
      <c r="C45" s="99">
        <v>3.0</v>
      </c>
      <c r="D45" s="100">
        <v>0.7083333333333334</v>
      </c>
      <c r="E45" s="100">
        <v>0.8333333333333334</v>
      </c>
      <c r="F45" s="1"/>
      <c r="G45" s="1"/>
      <c r="H45" s="1"/>
      <c r="I45" s="1"/>
      <c r="J45" s="1"/>
      <c r="K45" s="90" t="s">
        <v>211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97" t="s">
        <v>182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7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22">
    <mergeCell ref="F11:F12"/>
    <mergeCell ref="G11:H11"/>
    <mergeCell ref="I11:I12"/>
    <mergeCell ref="J11:J12"/>
    <mergeCell ref="L11:L12"/>
    <mergeCell ref="C3:K3"/>
    <mergeCell ref="K5:K9"/>
    <mergeCell ref="C6:F6"/>
    <mergeCell ref="C7:F7"/>
    <mergeCell ref="C8:F8"/>
    <mergeCell ref="C9:F9"/>
    <mergeCell ref="C11:C12"/>
    <mergeCell ref="K11:K12"/>
    <mergeCell ref="F40:G40"/>
    <mergeCell ref="H40:I40"/>
    <mergeCell ref="D11:D12"/>
    <mergeCell ref="E11:E12"/>
    <mergeCell ref="C31:D31"/>
    <mergeCell ref="F31:G31"/>
    <mergeCell ref="H31:I31"/>
    <mergeCell ref="C39:D39"/>
    <mergeCell ref="C40:D40"/>
  </mergeCells>
  <dataValidations>
    <dataValidation type="list" allowBlank="1" showErrorMessage="1" sqref="D13:D29">
      <formula1>"INDA MUTMAINNA,ANUGRAH NUR AULIANI,FIRJIANTO GERALD MANDORO,ZA'IM FATHURRAHMAN ILHAM"</formula1>
    </dataValidation>
    <dataValidation type="list" allowBlank="1" showErrorMessage="1" sqref="E13:E29">
      <formula1>"18572610006,18572610005,18572610004,18572610003"</formula1>
    </dataValidation>
  </dataValidations>
  <hyperlinks>
    <hyperlink r:id="rId1" location="gid=0" ref="A67"/>
  </hyperlinks>
  <printOptions horizontalCentered="1"/>
  <pageMargins bottom="0.75" footer="0.0" header="0.0" left="0.7" right="0.7" top="0.75"/>
  <pageSetup fitToHeight="0" paperSize="9" orientation="landscape" pageOrder="overThenDown"/>
  <drawing r:id="rId2"/>
</worksheet>
</file>